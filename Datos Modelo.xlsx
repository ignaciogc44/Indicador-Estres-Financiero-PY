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rchivos compartidos\Portafolio\Python\Indicador estres financiero\"/>
    </mc:Choice>
  </mc:AlternateContent>
  <xr:revisionPtr revIDLastSave="0" documentId="13_ncr:1_{1F47F353-537B-4B35-A006-C30992C4110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3" l="1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14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6" i="3"/>
  <c r="K5" i="3"/>
  <c r="K3" i="3"/>
  <c r="K4" i="3"/>
  <c r="K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3" i="3"/>
  <c r="N48" i="3" l="1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47" i="3"/>
  <c r="C235" i="3" l="1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S235" i="3"/>
  <c r="H235" i="3"/>
  <c r="S234" i="3"/>
  <c r="H234" i="3"/>
  <c r="S233" i="3"/>
  <c r="H233" i="3"/>
  <c r="S232" i="3"/>
  <c r="H232" i="3"/>
  <c r="S231" i="3"/>
  <c r="H231" i="3"/>
  <c r="S230" i="3"/>
  <c r="H230" i="3"/>
  <c r="S229" i="3"/>
  <c r="H229" i="3"/>
  <c r="S228" i="3"/>
  <c r="H228" i="3"/>
  <c r="S227" i="3"/>
  <c r="H227" i="3"/>
  <c r="S226" i="3"/>
  <c r="H226" i="3"/>
  <c r="S225" i="3"/>
  <c r="H225" i="3"/>
  <c r="S224" i="3"/>
  <c r="H224" i="3"/>
  <c r="S223" i="3"/>
  <c r="L235" i="3"/>
  <c r="H223" i="3"/>
  <c r="S222" i="3"/>
  <c r="L234" i="3"/>
  <c r="H222" i="3"/>
  <c r="S221" i="3"/>
  <c r="L233" i="3"/>
  <c r="H221" i="3"/>
  <c r="S220" i="3"/>
  <c r="L232" i="3"/>
  <c r="H220" i="3"/>
  <c r="S219" i="3"/>
  <c r="L231" i="3"/>
  <c r="H219" i="3"/>
  <c r="S218" i="3"/>
  <c r="L230" i="3"/>
  <c r="H218" i="3"/>
  <c r="S217" i="3"/>
  <c r="L229" i="3"/>
  <c r="H217" i="3"/>
  <c r="S216" i="3"/>
  <c r="L228" i="3"/>
  <c r="H216" i="3"/>
  <c r="S215" i="3"/>
  <c r="L227" i="3"/>
  <c r="H215" i="3"/>
  <c r="S214" i="3"/>
  <c r="L226" i="3"/>
  <c r="H214" i="3"/>
  <c r="S213" i="3"/>
  <c r="L225" i="3"/>
  <c r="H213" i="3"/>
  <c r="S212" i="3"/>
  <c r="L224" i="3"/>
  <c r="H212" i="3"/>
  <c r="S211" i="3"/>
  <c r="L223" i="3"/>
  <c r="H211" i="3"/>
  <c r="S210" i="3"/>
  <c r="L222" i="3"/>
  <c r="H210" i="3"/>
  <c r="S209" i="3"/>
  <c r="L221" i="3"/>
  <c r="H209" i="3"/>
  <c r="S208" i="3"/>
  <c r="L220" i="3"/>
  <c r="H208" i="3"/>
  <c r="S207" i="3"/>
  <c r="L219" i="3"/>
  <c r="H207" i="3"/>
  <c r="S206" i="3"/>
  <c r="L218" i="3"/>
  <c r="H206" i="3"/>
  <c r="S205" i="3"/>
  <c r="L217" i="3"/>
  <c r="H205" i="3"/>
  <c r="S204" i="3"/>
  <c r="L216" i="3"/>
  <c r="H204" i="3"/>
  <c r="S203" i="3"/>
  <c r="L215" i="3"/>
  <c r="H203" i="3"/>
  <c r="S202" i="3"/>
  <c r="L214" i="3"/>
  <c r="H202" i="3"/>
  <c r="S201" i="3"/>
  <c r="L213" i="3"/>
  <c r="H201" i="3"/>
  <c r="S200" i="3"/>
  <c r="L212" i="3"/>
  <c r="H200" i="3"/>
  <c r="S199" i="3"/>
  <c r="L211" i="3"/>
  <c r="H199" i="3"/>
  <c r="S198" i="3"/>
  <c r="L210" i="3"/>
  <c r="H198" i="3"/>
  <c r="S197" i="3"/>
  <c r="L209" i="3"/>
  <c r="H197" i="3"/>
  <c r="S196" i="3"/>
  <c r="L208" i="3"/>
  <c r="H196" i="3"/>
  <c r="S195" i="3"/>
  <c r="L207" i="3"/>
  <c r="H195" i="3"/>
  <c r="S194" i="3"/>
  <c r="L206" i="3"/>
  <c r="H194" i="3"/>
  <c r="S193" i="3"/>
  <c r="L205" i="3"/>
  <c r="H193" i="3"/>
  <c r="S192" i="3"/>
  <c r="L204" i="3"/>
  <c r="H192" i="3"/>
  <c r="S191" i="3"/>
  <c r="L203" i="3"/>
  <c r="H191" i="3"/>
  <c r="S190" i="3"/>
  <c r="L202" i="3"/>
  <c r="H190" i="3"/>
  <c r="S189" i="3"/>
  <c r="L201" i="3"/>
  <c r="H189" i="3"/>
  <c r="S188" i="3"/>
  <c r="L200" i="3"/>
  <c r="H188" i="3"/>
  <c r="S187" i="3"/>
  <c r="L199" i="3"/>
  <c r="H187" i="3"/>
  <c r="S186" i="3"/>
  <c r="L198" i="3"/>
  <c r="H186" i="3"/>
  <c r="S185" i="3"/>
  <c r="L197" i="3"/>
  <c r="H185" i="3"/>
  <c r="S184" i="3"/>
  <c r="L196" i="3"/>
  <c r="H184" i="3"/>
  <c r="S183" i="3"/>
  <c r="L195" i="3"/>
  <c r="H183" i="3"/>
  <c r="S182" i="3"/>
  <c r="L194" i="3"/>
  <c r="H182" i="3"/>
  <c r="S181" i="3"/>
  <c r="L193" i="3"/>
  <c r="H181" i="3"/>
  <c r="S180" i="3"/>
  <c r="L192" i="3"/>
  <c r="H180" i="3"/>
  <c r="S179" i="3"/>
  <c r="L191" i="3"/>
  <c r="H179" i="3"/>
  <c r="S178" i="3"/>
  <c r="L190" i="3"/>
  <c r="H178" i="3"/>
  <c r="S177" i="3"/>
  <c r="L189" i="3"/>
  <c r="H177" i="3"/>
  <c r="S176" i="3"/>
  <c r="L188" i="3"/>
  <c r="H176" i="3"/>
  <c r="S175" i="3"/>
  <c r="L187" i="3"/>
  <c r="H175" i="3"/>
  <c r="S174" i="3"/>
  <c r="L186" i="3"/>
  <c r="H174" i="3"/>
  <c r="S173" i="3"/>
  <c r="L185" i="3"/>
  <c r="H173" i="3"/>
  <c r="S172" i="3"/>
  <c r="L184" i="3"/>
  <c r="H172" i="3"/>
  <c r="S171" i="3"/>
  <c r="L183" i="3"/>
  <c r="H171" i="3"/>
  <c r="S170" i="3"/>
  <c r="L182" i="3"/>
  <c r="H170" i="3"/>
  <c r="S169" i="3"/>
  <c r="L181" i="3"/>
  <c r="H169" i="3"/>
  <c r="S168" i="3"/>
  <c r="L180" i="3"/>
  <c r="H168" i="3"/>
  <c r="S167" i="3"/>
  <c r="L179" i="3"/>
  <c r="H167" i="3"/>
  <c r="S166" i="3"/>
  <c r="L178" i="3"/>
  <c r="H166" i="3"/>
  <c r="S165" i="3"/>
  <c r="L177" i="3"/>
  <c r="H165" i="3"/>
  <c r="S164" i="3"/>
  <c r="L176" i="3"/>
  <c r="H164" i="3"/>
  <c r="S163" i="3"/>
  <c r="L175" i="3"/>
  <c r="H163" i="3"/>
  <c r="S162" i="3"/>
  <c r="L174" i="3"/>
  <c r="H162" i="3"/>
  <c r="S161" i="3"/>
  <c r="L173" i="3"/>
  <c r="H161" i="3"/>
  <c r="S160" i="3"/>
  <c r="L172" i="3"/>
  <c r="H160" i="3"/>
  <c r="S159" i="3"/>
  <c r="L171" i="3"/>
  <c r="H159" i="3"/>
  <c r="S158" i="3"/>
  <c r="L170" i="3"/>
  <c r="H158" i="3"/>
  <c r="S157" i="3"/>
  <c r="L169" i="3"/>
  <c r="H157" i="3"/>
  <c r="S156" i="3"/>
  <c r="L168" i="3"/>
  <c r="H156" i="3"/>
  <c r="S155" i="3"/>
  <c r="L167" i="3"/>
  <c r="H155" i="3"/>
  <c r="S154" i="3"/>
  <c r="L166" i="3"/>
  <c r="H154" i="3"/>
  <c r="S153" i="3"/>
  <c r="L165" i="3"/>
  <c r="H153" i="3"/>
  <c r="S152" i="3"/>
  <c r="L164" i="3"/>
  <c r="H152" i="3"/>
  <c r="S151" i="3"/>
  <c r="L163" i="3"/>
  <c r="H151" i="3"/>
  <c r="S150" i="3"/>
  <c r="L162" i="3"/>
  <c r="H150" i="3"/>
  <c r="S149" i="3"/>
  <c r="L161" i="3"/>
  <c r="H149" i="3"/>
  <c r="S148" i="3"/>
  <c r="L160" i="3"/>
  <c r="H148" i="3"/>
  <c r="S147" i="3"/>
  <c r="L159" i="3"/>
  <c r="H147" i="3"/>
  <c r="S146" i="3"/>
  <c r="L158" i="3"/>
  <c r="H146" i="3"/>
  <c r="S145" i="3"/>
  <c r="L157" i="3"/>
  <c r="H145" i="3"/>
  <c r="S144" i="3"/>
  <c r="L156" i="3"/>
  <c r="H144" i="3"/>
  <c r="S143" i="3"/>
  <c r="L155" i="3"/>
  <c r="H143" i="3"/>
  <c r="S142" i="3"/>
  <c r="L154" i="3"/>
  <c r="H142" i="3"/>
  <c r="S141" i="3"/>
  <c r="L153" i="3"/>
  <c r="H141" i="3"/>
  <c r="S140" i="3"/>
  <c r="L152" i="3"/>
  <c r="H140" i="3"/>
  <c r="S139" i="3"/>
  <c r="L151" i="3"/>
  <c r="H139" i="3"/>
  <c r="S138" i="3"/>
  <c r="L150" i="3"/>
  <c r="H138" i="3"/>
  <c r="S137" i="3"/>
  <c r="L149" i="3"/>
  <c r="H137" i="3"/>
  <c r="S136" i="3"/>
  <c r="L148" i="3"/>
  <c r="H136" i="3"/>
  <c r="S135" i="3"/>
  <c r="L147" i="3"/>
  <c r="H135" i="3"/>
  <c r="S134" i="3"/>
  <c r="L146" i="3"/>
  <c r="H134" i="3"/>
  <c r="S133" i="3"/>
  <c r="L145" i="3"/>
  <c r="H133" i="3"/>
  <c r="S132" i="3"/>
  <c r="L144" i="3"/>
  <c r="H132" i="3"/>
  <c r="S131" i="3"/>
  <c r="L143" i="3"/>
  <c r="H131" i="3"/>
  <c r="S130" i="3"/>
  <c r="L142" i="3"/>
  <c r="H130" i="3"/>
  <c r="S129" i="3"/>
  <c r="L141" i="3"/>
  <c r="H129" i="3"/>
  <c r="S128" i="3"/>
  <c r="L140" i="3"/>
  <c r="H128" i="3"/>
  <c r="S127" i="3"/>
  <c r="L139" i="3"/>
  <c r="H127" i="3"/>
  <c r="S126" i="3"/>
  <c r="L138" i="3"/>
  <c r="H126" i="3"/>
  <c r="S125" i="3"/>
  <c r="L137" i="3"/>
  <c r="H125" i="3"/>
  <c r="S124" i="3"/>
  <c r="L136" i="3"/>
  <c r="H124" i="3"/>
  <c r="S123" i="3"/>
  <c r="L135" i="3"/>
  <c r="H123" i="3"/>
  <c r="S122" i="3"/>
  <c r="L134" i="3"/>
  <c r="H122" i="3"/>
  <c r="S121" i="3"/>
  <c r="L133" i="3"/>
  <c r="H121" i="3"/>
  <c r="S120" i="3"/>
  <c r="L132" i="3"/>
  <c r="H120" i="3"/>
  <c r="S119" i="3"/>
  <c r="L131" i="3"/>
  <c r="H119" i="3"/>
  <c r="S118" i="3"/>
  <c r="L130" i="3"/>
  <c r="H118" i="3"/>
  <c r="S117" i="3"/>
  <c r="L129" i="3"/>
  <c r="H117" i="3"/>
  <c r="S116" i="3"/>
  <c r="L128" i="3"/>
  <c r="H116" i="3"/>
  <c r="S115" i="3"/>
  <c r="L127" i="3"/>
  <c r="H115" i="3"/>
  <c r="S114" i="3"/>
  <c r="L126" i="3"/>
  <c r="H114" i="3"/>
  <c r="S113" i="3"/>
  <c r="L125" i="3"/>
  <c r="H113" i="3"/>
  <c r="S112" i="3"/>
  <c r="L124" i="3"/>
  <c r="H112" i="3"/>
  <c r="S111" i="3"/>
  <c r="L123" i="3"/>
  <c r="H111" i="3"/>
  <c r="S110" i="3"/>
  <c r="L122" i="3"/>
  <c r="H110" i="3"/>
  <c r="S109" i="3"/>
  <c r="L121" i="3"/>
  <c r="H109" i="3"/>
  <c r="S108" i="3"/>
  <c r="L120" i="3"/>
  <c r="H108" i="3"/>
  <c r="S107" i="3"/>
  <c r="L119" i="3"/>
  <c r="H107" i="3"/>
  <c r="S106" i="3"/>
  <c r="L118" i="3"/>
  <c r="H106" i="3"/>
  <c r="S105" i="3"/>
  <c r="L117" i="3"/>
  <c r="H105" i="3"/>
  <c r="S104" i="3"/>
  <c r="L116" i="3"/>
  <c r="H104" i="3"/>
  <c r="S103" i="3"/>
  <c r="L115" i="3"/>
  <c r="H103" i="3"/>
  <c r="S102" i="3"/>
  <c r="L114" i="3"/>
  <c r="H102" i="3"/>
  <c r="S101" i="3"/>
  <c r="L113" i="3"/>
  <c r="H101" i="3"/>
  <c r="S100" i="3"/>
  <c r="L112" i="3"/>
  <c r="H100" i="3"/>
  <c r="S99" i="3"/>
  <c r="L111" i="3"/>
  <c r="H99" i="3"/>
  <c r="S98" i="3"/>
  <c r="L110" i="3"/>
  <c r="H98" i="3"/>
  <c r="S97" i="3"/>
  <c r="L109" i="3"/>
  <c r="H97" i="3"/>
  <c r="S96" i="3"/>
  <c r="L108" i="3"/>
  <c r="H96" i="3"/>
  <c r="S95" i="3"/>
  <c r="L107" i="3"/>
  <c r="H95" i="3"/>
  <c r="S94" i="3"/>
  <c r="L106" i="3"/>
  <c r="H94" i="3"/>
  <c r="S93" i="3"/>
  <c r="L105" i="3"/>
  <c r="H93" i="3"/>
  <c r="S92" i="3"/>
  <c r="L104" i="3"/>
  <c r="H92" i="3"/>
  <c r="S91" i="3"/>
  <c r="L103" i="3"/>
  <c r="H91" i="3"/>
  <c r="S90" i="3"/>
  <c r="L102" i="3"/>
  <c r="H90" i="3"/>
  <c r="S89" i="3"/>
  <c r="L101" i="3"/>
  <c r="H89" i="3"/>
  <c r="S88" i="3"/>
  <c r="L100" i="3"/>
  <c r="H88" i="3"/>
  <c r="S87" i="3"/>
  <c r="L99" i="3"/>
  <c r="H87" i="3"/>
  <c r="S86" i="3"/>
  <c r="L98" i="3"/>
  <c r="H86" i="3"/>
  <c r="S85" i="3"/>
  <c r="L97" i="3"/>
  <c r="H85" i="3"/>
  <c r="S84" i="3"/>
  <c r="L96" i="3"/>
  <c r="H84" i="3"/>
  <c r="S83" i="3"/>
  <c r="L95" i="3"/>
  <c r="H83" i="3"/>
  <c r="S82" i="3"/>
  <c r="L94" i="3"/>
  <c r="H82" i="3"/>
  <c r="S81" i="3"/>
  <c r="L93" i="3"/>
  <c r="H81" i="3"/>
  <c r="S80" i="3"/>
  <c r="L92" i="3"/>
  <c r="H80" i="3"/>
  <c r="S79" i="3"/>
  <c r="L91" i="3"/>
  <c r="H79" i="3"/>
  <c r="S78" i="3"/>
  <c r="L90" i="3"/>
  <c r="H78" i="3"/>
  <c r="S77" i="3"/>
  <c r="L89" i="3"/>
  <c r="H77" i="3"/>
  <c r="S76" i="3"/>
  <c r="L88" i="3"/>
  <c r="H76" i="3"/>
  <c r="S75" i="3"/>
  <c r="L87" i="3"/>
  <c r="H75" i="3"/>
  <c r="S74" i="3"/>
  <c r="L86" i="3"/>
  <c r="H74" i="3"/>
  <c r="S73" i="3"/>
  <c r="L85" i="3"/>
  <c r="H73" i="3"/>
  <c r="S72" i="3"/>
  <c r="L84" i="3"/>
  <c r="H72" i="3"/>
  <c r="S71" i="3"/>
  <c r="L83" i="3"/>
  <c r="H71" i="3"/>
  <c r="S70" i="3"/>
  <c r="L82" i="3"/>
  <c r="H70" i="3"/>
  <c r="S69" i="3"/>
  <c r="L81" i="3"/>
  <c r="H69" i="3"/>
  <c r="S68" i="3"/>
  <c r="L80" i="3"/>
  <c r="H68" i="3"/>
  <c r="S67" i="3"/>
  <c r="L79" i="3"/>
  <c r="H67" i="3"/>
  <c r="S66" i="3"/>
  <c r="L78" i="3"/>
  <c r="H66" i="3"/>
  <c r="S65" i="3"/>
  <c r="L77" i="3"/>
  <c r="H65" i="3"/>
  <c r="S64" i="3"/>
  <c r="L76" i="3"/>
  <c r="H64" i="3"/>
  <c r="S63" i="3"/>
  <c r="L75" i="3"/>
  <c r="H63" i="3"/>
  <c r="S62" i="3"/>
  <c r="L74" i="3"/>
  <c r="H62" i="3"/>
  <c r="S61" i="3"/>
  <c r="L73" i="3"/>
  <c r="H61" i="3"/>
  <c r="S60" i="3"/>
  <c r="L72" i="3"/>
  <c r="H60" i="3"/>
  <c r="S59" i="3"/>
  <c r="L71" i="3"/>
  <c r="H59" i="3"/>
  <c r="S58" i="3"/>
  <c r="L70" i="3"/>
  <c r="H58" i="3"/>
  <c r="S57" i="3"/>
  <c r="L69" i="3"/>
  <c r="H57" i="3"/>
  <c r="S56" i="3"/>
  <c r="L68" i="3"/>
  <c r="H56" i="3"/>
  <c r="S55" i="3"/>
  <c r="L67" i="3"/>
  <c r="H55" i="3"/>
  <c r="S54" i="3"/>
  <c r="L66" i="3"/>
  <c r="H54" i="3"/>
  <c r="S53" i="3"/>
  <c r="L65" i="3"/>
  <c r="H53" i="3"/>
  <c r="S52" i="3"/>
  <c r="L64" i="3"/>
  <c r="H52" i="3"/>
  <c r="S51" i="3"/>
  <c r="L63" i="3"/>
  <c r="H51" i="3"/>
  <c r="S50" i="3"/>
  <c r="L62" i="3"/>
  <c r="H50" i="3"/>
  <c r="S49" i="3"/>
  <c r="L61" i="3"/>
  <c r="H49" i="3"/>
  <c r="S48" i="3"/>
  <c r="L60" i="3"/>
  <c r="H48" i="3"/>
  <c r="S47" i="3"/>
  <c r="L59" i="3"/>
  <c r="H47" i="3"/>
  <c r="S46" i="3"/>
  <c r="L58" i="3"/>
  <c r="H46" i="3"/>
  <c r="S45" i="3"/>
  <c r="L57" i="3"/>
  <c r="H45" i="3"/>
  <c r="S44" i="3"/>
  <c r="L56" i="3"/>
  <c r="H44" i="3"/>
  <c r="S43" i="3"/>
  <c r="L55" i="3"/>
  <c r="H43" i="3"/>
  <c r="S42" i="3"/>
  <c r="L54" i="3"/>
  <c r="H42" i="3"/>
  <c r="S41" i="3"/>
  <c r="L53" i="3"/>
  <c r="H41" i="3"/>
  <c r="S40" i="3"/>
  <c r="L52" i="3"/>
  <c r="H40" i="3"/>
  <c r="S39" i="3"/>
  <c r="L51" i="3"/>
  <c r="H39" i="3"/>
  <c r="S38" i="3"/>
  <c r="L50" i="3"/>
  <c r="H38" i="3"/>
  <c r="S37" i="3"/>
  <c r="L49" i="3"/>
  <c r="H37" i="3"/>
  <c r="S36" i="3"/>
  <c r="L48" i="3"/>
  <c r="H36" i="3"/>
  <c r="S35" i="3"/>
  <c r="L47" i="3"/>
  <c r="H35" i="3"/>
  <c r="S34" i="3"/>
  <c r="L46" i="3"/>
  <c r="H34" i="3"/>
  <c r="S33" i="3"/>
  <c r="L45" i="3"/>
  <c r="H33" i="3"/>
  <c r="S32" i="3"/>
  <c r="L44" i="3"/>
  <c r="H32" i="3"/>
  <c r="S31" i="3"/>
  <c r="L43" i="3"/>
  <c r="H31" i="3"/>
  <c r="S30" i="3"/>
  <c r="L42" i="3"/>
  <c r="H30" i="3"/>
  <c r="S29" i="3"/>
  <c r="L41" i="3"/>
  <c r="H29" i="3"/>
  <c r="S28" i="3"/>
  <c r="L40" i="3"/>
  <c r="H28" i="3"/>
  <c r="S27" i="3"/>
  <c r="L39" i="3"/>
  <c r="H27" i="3"/>
  <c r="S26" i="3"/>
  <c r="L38" i="3"/>
  <c r="H26" i="3"/>
  <c r="S25" i="3"/>
  <c r="L37" i="3"/>
  <c r="H25" i="3"/>
  <c r="S24" i="3"/>
  <c r="L36" i="3"/>
  <c r="H24" i="3"/>
  <c r="S23" i="3"/>
  <c r="L35" i="3"/>
  <c r="H23" i="3"/>
  <c r="S22" i="3"/>
  <c r="L34" i="3"/>
  <c r="H22" i="3"/>
  <c r="S21" i="3"/>
  <c r="L33" i="3"/>
  <c r="H21" i="3"/>
  <c r="S20" i="3"/>
  <c r="L32" i="3"/>
  <c r="H20" i="3"/>
  <c r="S19" i="3"/>
  <c r="L31" i="3"/>
  <c r="H19" i="3"/>
  <c r="S18" i="3"/>
  <c r="L30" i="3"/>
  <c r="H18" i="3"/>
  <c r="S17" i="3"/>
  <c r="L29" i="3"/>
  <c r="H17" i="3"/>
  <c r="S16" i="3"/>
  <c r="L28" i="3"/>
  <c r="H16" i="3"/>
  <c r="S15" i="3"/>
  <c r="L27" i="3"/>
  <c r="H15" i="3"/>
  <c r="S14" i="3"/>
  <c r="L26" i="3"/>
  <c r="H14" i="3"/>
  <c r="S13" i="3"/>
  <c r="L25" i="3"/>
  <c r="S12" i="3"/>
  <c r="L24" i="3"/>
  <c r="S11" i="3"/>
  <c r="L23" i="3"/>
  <c r="S10" i="3"/>
  <c r="L22" i="3"/>
  <c r="S9" i="3"/>
  <c r="L21" i="3"/>
  <c r="S8" i="3"/>
  <c r="L20" i="3"/>
  <c r="S7" i="3"/>
  <c r="L19" i="3"/>
  <c r="S6" i="3"/>
  <c r="L18" i="3"/>
  <c r="S5" i="3"/>
  <c r="L17" i="3"/>
  <c r="S4" i="3"/>
  <c r="L16" i="3"/>
  <c r="S3" i="3"/>
  <c r="L15" i="3"/>
  <c r="S2" i="3"/>
  <c r="L14" i="3"/>
</calcChain>
</file>

<file path=xl/sharedStrings.xml><?xml version="1.0" encoding="utf-8"?>
<sst xmlns="http://schemas.openxmlformats.org/spreadsheetml/2006/main" count="21" uniqueCount="21">
  <si>
    <t>Fecha</t>
  </si>
  <si>
    <t>MTI</t>
  </si>
  <si>
    <t>Crisis</t>
  </si>
  <si>
    <t>M3</t>
  </si>
  <si>
    <t>Incremento M3</t>
  </si>
  <si>
    <t>EMAE</t>
  </si>
  <si>
    <t>Incremento EMAE</t>
  </si>
  <si>
    <t>DF</t>
  </si>
  <si>
    <t>TCR</t>
  </si>
  <si>
    <t>TCR-M</t>
  </si>
  <si>
    <t>DCC</t>
  </si>
  <si>
    <t>IPMP</t>
  </si>
  <si>
    <t>Imp</t>
  </si>
  <si>
    <t>Reservas</t>
  </si>
  <si>
    <t>Res/Imp</t>
  </si>
  <si>
    <t/>
  </si>
  <si>
    <t>Deuda ext</t>
  </si>
  <si>
    <t>TCR-M-1</t>
  </si>
  <si>
    <t>DCC-1</t>
  </si>
  <si>
    <t>i</t>
  </si>
  <si>
    <t>Incremento Reservas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</si>
</sst>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* #,##0_ ;_ * \-#,##0_ ;_ * &quot;-&quot;_ ;_ @_ "/>
    <numFmt numFmtId="167" formatCode="0.0"/>
    <numFmt numFmtId="168" formatCode="0.0%"/>
    <numFmt numFmtId="169" formatCode="_(* #,##0_);_(* \(#,##0\);_(* &quot;-&quot;??_);_(@_)"/>
    <numFmt numFmtId="170" formatCode="_-* #,##0_-;\-* #,##0_-;_-* &quot;-&quot;??_-;_-@_-"/>
    <numFmt numFmtId="172" formatCode="0.0000"/>
    <numFmt numFmtId="173" formatCode="0.00000"/>
    <numFmt numFmtId="174" formatCode="0.000_ ;\-0.000\ "/>
    <numFmt numFmtId="175" formatCode="0.0000_ ;\-0.0000\ "/>
    <numFmt numFmtId="178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2" fontId="0" fillId="0" borderId="0" xfId="0" applyNumberFormat="1"/>
    <xf numFmtId="164" fontId="3" fillId="0" borderId="0" xfId="0" applyNumberFormat="1" applyFont="1"/>
    <xf numFmtId="2" fontId="2" fillId="0" borderId="0" xfId="1" applyNumberFormat="1" applyFont="1" applyFill="1"/>
    <xf numFmtId="2" fontId="3" fillId="0" borderId="0" xfId="1" applyNumberFormat="1" applyFont="1" applyFill="1" applyBorder="1"/>
    <xf numFmtId="167" fontId="2" fillId="0" borderId="0" xfId="0" applyNumberFormat="1" applyFont="1"/>
    <xf numFmtId="0" fontId="2" fillId="0" borderId="0" xfId="0" applyFont="1"/>
    <xf numFmtId="167" fontId="2" fillId="0" borderId="0" xfId="0" applyNumberFormat="1" applyFont="1" applyAlignment="1">
      <alignment horizontal="center"/>
    </xf>
    <xf numFmtId="2" fontId="3" fillId="0" borderId="0" xfId="3" applyNumberFormat="1" applyFont="1" applyAlignment="1">
      <alignment horizontal="right"/>
    </xf>
    <xf numFmtId="2" fontId="2" fillId="0" borderId="0" xfId="0" applyNumberFormat="1" applyFont="1"/>
    <xf numFmtId="168" fontId="2" fillId="0" borderId="0" xfId="2" applyNumberFormat="1" applyFont="1" applyFill="1"/>
    <xf numFmtId="17" fontId="2" fillId="0" borderId="0" xfId="0" applyNumberFormat="1" applyFont="1" applyAlignment="1">
      <alignment wrapText="1"/>
    </xf>
    <xf numFmtId="169" fontId="2" fillId="0" borderId="0" xfId="1" applyNumberFormat="1" applyFont="1" applyFill="1"/>
    <xf numFmtId="170" fontId="2" fillId="0" borderId="0" xfId="1" applyNumberFormat="1" applyFont="1" applyFill="1"/>
    <xf numFmtId="170" fontId="2" fillId="0" borderId="0" xfId="1" applyNumberFormat="1" applyFont="1" applyFill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3" fontId="2" fillId="0" borderId="0" xfId="1" applyNumberFormat="1" applyFont="1" applyFill="1"/>
    <xf numFmtId="174" fontId="2" fillId="0" borderId="0" xfId="0" applyNumberFormat="1" applyFont="1"/>
    <xf numFmtId="172" fontId="3" fillId="0" borderId="0" xfId="2" applyNumberFormat="1" applyFont="1" applyFill="1" applyBorder="1"/>
    <xf numFmtId="175" fontId="2" fillId="0" borderId="0" xfId="0" applyNumberFormat="1" applyFont="1"/>
    <xf numFmtId="172" fontId="2" fillId="0" borderId="0" xfId="0" applyNumberFormat="1" applyFont="1"/>
    <xf numFmtId="178" fontId="2" fillId="0" borderId="0" xfId="1" applyNumberFormat="1" applyFont="1" applyFill="1"/>
  </cellXfs>
  <cellStyles count="4">
    <cellStyle name="Millares" xfId="1" builtinId="3"/>
    <cellStyle name="Normal" xfId="0" builtinId="0"/>
    <cellStyle name="Normal 2" xfId="3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"/>
  <sheetViews>
    <sheetView tabSelected="1" workbookViewId="0">
      <pane ySplit="1" topLeftCell="A215" activePane="bottomLeft" state="frozen"/>
      <selection pane="bottomLeft" activeCell="A236" sqref="A236"/>
    </sheetView>
  </sheetViews>
  <sheetFormatPr baseColWidth="10" defaultRowHeight="14.25" x14ac:dyDescent="0.45"/>
  <cols>
    <col min="5" max="5" width="14.59765625" bestFit="1" customWidth="1"/>
    <col min="6" max="6" width="12.86328125" bestFit="1" customWidth="1"/>
    <col min="18" max="18" width="13" customWidth="1"/>
    <col min="20" max="20" width="11.3984375" style="6"/>
  </cols>
  <sheetData>
    <row r="1" spans="1:20" s="15" customFormat="1" x14ac:dyDescent="0.45">
      <c r="A1" s="16" t="s">
        <v>0</v>
      </c>
      <c r="B1" s="15" t="s">
        <v>1</v>
      </c>
      <c r="C1" s="15" t="s">
        <v>2</v>
      </c>
      <c r="D1" s="15" t="s">
        <v>19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17</v>
      </c>
      <c r="M1" s="16" t="s">
        <v>10</v>
      </c>
      <c r="N1" s="16" t="s">
        <v>18</v>
      </c>
      <c r="O1" s="16" t="s">
        <v>11</v>
      </c>
      <c r="P1" s="16" t="s">
        <v>12</v>
      </c>
      <c r="Q1" s="16" t="s">
        <v>13</v>
      </c>
      <c r="R1" s="16" t="s">
        <v>20</v>
      </c>
      <c r="S1" s="16" t="s">
        <v>14</v>
      </c>
      <c r="T1" s="16" t="s">
        <v>16</v>
      </c>
    </row>
    <row r="2" spans="1:20" x14ac:dyDescent="0.45">
      <c r="A2" s="11">
        <v>37987</v>
      </c>
      <c r="B2" s="1">
        <v>0</v>
      </c>
      <c r="C2">
        <f>IF(B2&lt;2,0, 1)</f>
        <v>0</v>
      </c>
      <c r="D2">
        <v>1.5</v>
      </c>
      <c r="E2" s="2">
        <v>119725909</v>
      </c>
      <c r="F2" s="3"/>
      <c r="G2" s="18">
        <v>98.23709187096091</v>
      </c>
      <c r="H2" s="4"/>
      <c r="I2" s="20">
        <v>3.9699999999999999E-2</v>
      </c>
      <c r="J2" s="21">
        <v>159.53684802091595</v>
      </c>
      <c r="K2" s="21">
        <f>J2-AVERAGE($J$2:$J$235)</f>
        <v>37.917304195636689</v>
      </c>
      <c r="L2" s="5"/>
      <c r="M2" s="21"/>
      <c r="N2" s="6"/>
      <c r="O2" s="7">
        <v>161.44906861857811</v>
      </c>
      <c r="P2" s="13">
        <v>1609</v>
      </c>
      <c r="Q2" s="13">
        <v>9326</v>
      </c>
      <c r="R2" s="13"/>
      <c r="S2" s="9">
        <f>Q2/P2</f>
        <v>5.7961466749533868</v>
      </c>
    </row>
    <row r="3" spans="1:20" x14ac:dyDescent="0.45">
      <c r="A3" s="11">
        <v>38018</v>
      </c>
      <c r="B3" s="1">
        <v>-1.7598726849584931</v>
      </c>
      <c r="C3">
        <f>IF(B3&lt;2,0, 1)</f>
        <v>0</v>
      </c>
      <c r="D3">
        <v>1.125</v>
      </c>
      <c r="E3" s="2">
        <v>120882595</v>
      </c>
      <c r="F3" s="17">
        <f>(E3-E2)/E2</f>
        <v>9.6611168765484163E-3</v>
      </c>
      <c r="G3" s="18">
        <v>98.087555023146294</v>
      </c>
      <c r="H3" s="4"/>
      <c r="I3" s="20">
        <v>3.9699999999999999E-2</v>
      </c>
      <c r="J3" s="21">
        <v>159.66271535700466</v>
      </c>
      <c r="K3" s="21">
        <f t="shared" ref="K3:K66" si="0">J3-AVERAGE($J$2:$J$235)</f>
        <v>38.043171531725392</v>
      </c>
      <c r="L3" s="5"/>
      <c r="M3" s="21"/>
      <c r="N3" s="6"/>
      <c r="O3" s="7">
        <v>167.80729010354611</v>
      </c>
      <c r="P3" s="13">
        <v>1364</v>
      </c>
      <c r="Q3" s="13">
        <v>10289</v>
      </c>
      <c r="R3" s="13"/>
      <c r="S3" s="9">
        <f t="shared" ref="S3:S66" si="1">Q3/P3</f>
        <v>7.5432551319648091</v>
      </c>
    </row>
    <row r="4" spans="1:20" x14ac:dyDescent="0.45">
      <c r="A4" s="11">
        <v>38047</v>
      </c>
      <c r="B4" s="1">
        <v>2.7979447128473178</v>
      </c>
      <c r="C4">
        <f>IF(B4&lt;2,0, 1)</f>
        <v>1</v>
      </c>
      <c r="D4">
        <v>1.6875</v>
      </c>
      <c r="E4" s="2">
        <v>120780924</v>
      </c>
      <c r="F4" s="17">
        <f t="shared" ref="F4:F67" si="2">(E4-E3)/E3</f>
        <v>-8.4107228174577157E-4</v>
      </c>
      <c r="G4" s="18">
        <v>97.663962475855854</v>
      </c>
      <c r="H4" s="4"/>
      <c r="I4" s="20">
        <v>3.9699999999999999E-2</v>
      </c>
      <c r="J4" s="21">
        <v>155.1182202455168</v>
      </c>
      <c r="K4" s="21">
        <f t="shared" si="0"/>
        <v>33.49867642023753</v>
      </c>
      <c r="L4" s="5"/>
      <c r="M4" s="6"/>
      <c r="N4" s="6"/>
      <c r="O4" s="7">
        <v>183.68432685013369</v>
      </c>
      <c r="P4" s="13">
        <v>1690</v>
      </c>
      <c r="Q4" s="13">
        <v>10517</v>
      </c>
      <c r="R4" s="13"/>
      <c r="S4" s="9">
        <f t="shared" si="1"/>
        <v>6.2230769230769232</v>
      </c>
    </row>
    <row r="5" spans="1:20" x14ac:dyDescent="0.45">
      <c r="A5" s="11">
        <v>38078</v>
      </c>
      <c r="B5" s="1">
        <v>-0.40912577127685457</v>
      </c>
      <c r="C5">
        <f>IF(B5&lt;2,0, 1)</f>
        <v>0</v>
      </c>
      <c r="D5">
        <v>1.8125</v>
      </c>
      <c r="E5" s="2">
        <v>123897338</v>
      </c>
      <c r="F5" s="17">
        <f t="shared" si="2"/>
        <v>2.5802203665870282E-2</v>
      </c>
      <c r="G5" s="18">
        <v>95.12539234952942</v>
      </c>
      <c r="H5" s="4"/>
      <c r="I5" s="20">
        <v>3.9699999999999999E-2</v>
      </c>
      <c r="J5" s="21">
        <v>151.16485227938421</v>
      </c>
      <c r="K5" s="21">
        <f t="shared" si="0"/>
        <v>29.545308454104941</v>
      </c>
      <c r="L5" s="5"/>
      <c r="M5" s="6"/>
      <c r="N5" s="6"/>
      <c r="O5" s="7">
        <v>184.54931640356381</v>
      </c>
      <c r="P5" s="13">
        <v>1651</v>
      </c>
      <c r="Q5" s="13">
        <v>10971</v>
      </c>
      <c r="R5" s="13"/>
      <c r="S5" s="9">
        <f t="shared" si="1"/>
        <v>6.6450635978195036</v>
      </c>
    </row>
    <row r="6" spans="1:20" x14ac:dyDescent="0.45">
      <c r="A6" s="11">
        <v>38108</v>
      </c>
      <c r="B6" s="1">
        <v>7.0995148499284424</v>
      </c>
      <c r="C6">
        <f>IF(B6&lt;2,0, 1)</f>
        <v>1</v>
      </c>
      <c r="D6">
        <v>3.875</v>
      </c>
      <c r="E6" s="2">
        <v>128684876</v>
      </c>
      <c r="F6" s="17">
        <f t="shared" si="2"/>
        <v>3.8641169191221847E-2</v>
      </c>
      <c r="G6" s="18">
        <v>96.985384551763573</v>
      </c>
      <c r="H6" s="8"/>
      <c r="I6" s="20">
        <v>3.9699999999999999E-2</v>
      </c>
      <c r="J6" s="21">
        <v>155.0465836116108</v>
      </c>
      <c r="K6" s="21">
        <f t="shared" si="0"/>
        <v>33.427039786331534</v>
      </c>
      <c r="L6" s="5"/>
      <c r="M6" s="6"/>
      <c r="N6" s="6"/>
      <c r="O6" s="7">
        <v>181.89799742132709</v>
      </c>
      <c r="P6" s="13">
        <v>1792</v>
      </c>
      <c r="Q6" s="13">
        <v>11374</v>
      </c>
      <c r="R6" s="13"/>
      <c r="S6" s="9">
        <f t="shared" si="1"/>
        <v>6.3470982142857144</v>
      </c>
    </row>
    <row r="7" spans="1:20" x14ac:dyDescent="0.45">
      <c r="A7" s="11">
        <v>38139</v>
      </c>
      <c r="B7" s="1">
        <v>-3.0887163473624382</v>
      </c>
      <c r="C7">
        <f>IF(B7&lt;2,0, 1)</f>
        <v>0</v>
      </c>
      <c r="D7">
        <v>2.4375</v>
      </c>
      <c r="E7" s="2">
        <v>133897447</v>
      </c>
      <c r="F7" s="17">
        <f t="shared" si="2"/>
        <v>4.0506477233579495E-2</v>
      </c>
      <c r="G7" s="18">
        <v>98.791896327628194</v>
      </c>
      <c r="H7" s="8"/>
      <c r="I7" s="20">
        <v>3.9699999999999999E-2</v>
      </c>
      <c r="J7" s="21">
        <v>154.07633494719596</v>
      </c>
      <c r="K7" s="21">
        <f t="shared" si="0"/>
        <v>32.456791121916694</v>
      </c>
      <c r="L7" s="5"/>
      <c r="M7" s="6"/>
      <c r="N7" s="6"/>
      <c r="O7" s="7">
        <v>172.26714122652601</v>
      </c>
      <c r="P7" s="13">
        <v>2039</v>
      </c>
      <c r="Q7" s="13">
        <v>12183</v>
      </c>
      <c r="R7" s="13"/>
      <c r="S7" s="9">
        <f t="shared" si="1"/>
        <v>5.9749877390877879</v>
      </c>
    </row>
    <row r="8" spans="1:20" x14ac:dyDescent="0.45">
      <c r="A8" s="11">
        <v>38169</v>
      </c>
      <c r="B8" s="1">
        <v>3.6673048747810042</v>
      </c>
      <c r="C8">
        <f>IF(B8&lt;2,0, 1)</f>
        <v>1</v>
      </c>
      <c r="D8">
        <v>4</v>
      </c>
      <c r="E8" s="2">
        <v>136036180</v>
      </c>
      <c r="F8" s="17">
        <f t="shared" si="2"/>
        <v>1.5972918438093894E-2</v>
      </c>
      <c r="G8" s="18">
        <v>100.86629117610406</v>
      </c>
      <c r="H8" s="9"/>
      <c r="I8" s="20">
        <v>3.9699999999999999E-2</v>
      </c>
      <c r="J8" s="21">
        <v>156.13372279167481</v>
      </c>
      <c r="K8" s="21">
        <f t="shared" si="0"/>
        <v>34.514178966395548</v>
      </c>
      <c r="L8" s="5"/>
      <c r="M8" s="6"/>
      <c r="N8" s="6"/>
      <c r="O8" s="7">
        <v>170.30398985711381</v>
      </c>
      <c r="P8" s="13">
        <v>1970</v>
      </c>
      <c r="Q8" s="13">
        <v>13484</v>
      </c>
      <c r="R8" s="13"/>
      <c r="S8" s="9">
        <f t="shared" si="1"/>
        <v>6.8446700507614215</v>
      </c>
    </row>
    <row r="9" spans="1:20" x14ac:dyDescent="0.45">
      <c r="A9" s="11">
        <v>38200</v>
      </c>
      <c r="B9" s="1">
        <v>0.82716918626317537</v>
      </c>
      <c r="C9">
        <f>IF(B9&lt;2,0, 1)</f>
        <v>0</v>
      </c>
      <c r="D9">
        <v>4.4375</v>
      </c>
      <c r="E9" s="2">
        <v>137086787</v>
      </c>
      <c r="F9" s="17">
        <f t="shared" si="2"/>
        <v>7.7229969262588823E-3</v>
      </c>
      <c r="G9" s="18">
        <v>102.15580354648873</v>
      </c>
      <c r="H9" s="9"/>
      <c r="I9" s="20">
        <v>3.9699999999999999E-2</v>
      </c>
      <c r="J9" s="21">
        <v>159.94682435779487</v>
      </c>
      <c r="K9" s="21">
        <f t="shared" si="0"/>
        <v>38.327280532515601</v>
      </c>
      <c r="L9" s="5"/>
      <c r="M9" s="6"/>
      <c r="N9" s="6"/>
      <c r="O9" s="7">
        <v>150.98753107522271</v>
      </c>
      <c r="P9" s="13">
        <v>2032</v>
      </c>
      <c r="Q9" s="13">
        <v>13584</v>
      </c>
      <c r="R9" s="13"/>
      <c r="S9" s="9">
        <f t="shared" si="1"/>
        <v>6.6850393700787398</v>
      </c>
    </row>
    <row r="10" spans="1:20" x14ac:dyDescent="0.45">
      <c r="A10" s="11">
        <v>38231</v>
      </c>
      <c r="B10" s="1">
        <v>0.81964462516577186</v>
      </c>
      <c r="C10">
        <f>IF(B10&lt;2,0, 1)</f>
        <v>0</v>
      </c>
      <c r="D10">
        <v>5.1875</v>
      </c>
      <c r="E10" s="2">
        <v>137901657</v>
      </c>
      <c r="F10" s="17">
        <f t="shared" si="2"/>
        <v>5.9441906680619775E-3</v>
      </c>
      <c r="G10" s="18">
        <v>102.44587518896105</v>
      </c>
      <c r="H10" s="9"/>
      <c r="I10" s="20">
        <v>3.9699999999999999E-2</v>
      </c>
      <c r="J10" s="21">
        <v>160.49937059462138</v>
      </c>
      <c r="K10" s="21">
        <f t="shared" si="0"/>
        <v>38.879826769342117</v>
      </c>
      <c r="L10" s="5"/>
      <c r="M10" s="6"/>
      <c r="N10" s="6"/>
      <c r="O10" s="7">
        <v>143.69874827219979</v>
      </c>
      <c r="P10" s="13">
        <v>2025</v>
      </c>
      <c r="Q10" s="13">
        <v>13406</v>
      </c>
      <c r="R10" s="13"/>
      <c r="S10" s="9">
        <f t="shared" si="1"/>
        <v>6.6202469135802469</v>
      </c>
    </row>
    <row r="11" spans="1:20" x14ac:dyDescent="0.45">
      <c r="A11" s="11">
        <v>38261</v>
      </c>
      <c r="B11" s="1">
        <v>-1.3244519946027844</v>
      </c>
      <c r="C11">
        <f>IF(B11&lt;2,0, 1)</f>
        <v>0</v>
      </c>
      <c r="D11">
        <v>4.375</v>
      </c>
      <c r="E11" s="2">
        <v>139443168</v>
      </c>
      <c r="F11" s="17">
        <f t="shared" si="2"/>
        <v>1.1178335587367163E-2</v>
      </c>
      <c r="G11" s="18">
        <v>103.15847930856408</v>
      </c>
      <c r="H11" s="9"/>
      <c r="I11" s="20">
        <v>3.9699999999999999E-2</v>
      </c>
      <c r="J11" s="21">
        <v>161.05869533104482</v>
      </c>
      <c r="K11" s="21">
        <f t="shared" si="0"/>
        <v>39.439151505765551</v>
      </c>
      <c r="L11" s="5"/>
      <c r="M11" s="6"/>
      <c r="N11" s="6"/>
      <c r="O11" s="7">
        <v>136.05491586385179</v>
      </c>
      <c r="P11" s="13">
        <v>1973</v>
      </c>
      <c r="Q11" s="13">
        <v>12902</v>
      </c>
      <c r="R11" s="13"/>
      <c r="S11" s="9">
        <f t="shared" si="1"/>
        <v>6.5392802838317285</v>
      </c>
    </row>
    <row r="12" spans="1:20" x14ac:dyDescent="0.45">
      <c r="A12" s="11">
        <v>38292</v>
      </c>
      <c r="B12" s="1">
        <v>-0.87487369070432441</v>
      </c>
      <c r="C12">
        <f>IF(B12&lt;2,0, 1)</f>
        <v>0</v>
      </c>
      <c r="D12">
        <v>4.125</v>
      </c>
      <c r="E12" s="2">
        <v>142774505</v>
      </c>
      <c r="F12" s="17">
        <f t="shared" si="2"/>
        <v>2.3890284821985686E-2</v>
      </c>
      <c r="G12" s="18">
        <v>103.68044881655285</v>
      </c>
      <c r="H12" s="8"/>
      <c r="I12" s="20">
        <v>3.9699999999999999E-2</v>
      </c>
      <c r="J12" s="21">
        <v>165.003031577065</v>
      </c>
      <c r="K12" s="21">
        <f t="shared" si="0"/>
        <v>43.383487751785736</v>
      </c>
      <c r="L12" s="5"/>
      <c r="M12" s="6"/>
      <c r="N12" s="6"/>
      <c r="O12" s="7">
        <v>133.00211982719179</v>
      </c>
      <c r="P12" s="13">
        <v>2193</v>
      </c>
      <c r="Q12" s="13">
        <v>13483</v>
      </c>
      <c r="R12" s="13"/>
      <c r="S12" s="9">
        <f t="shared" si="1"/>
        <v>6.1481988144094846</v>
      </c>
    </row>
    <row r="13" spans="1:20" x14ac:dyDescent="0.45">
      <c r="A13" s="11">
        <v>38322</v>
      </c>
      <c r="B13" s="1">
        <v>-0.65576602812153895</v>
      </c>
      <c r="C13">
        <f>IF(B13&lt;2,0, 1)</f>
        <v>0</v>
      </c>
      <c r="D13">
        <v>4</v>
      </c>
      <c r="E13" s="2">
        <v>147498443</v>
      </c>
      <c r="F13" s="17">
        <f t="shared" si="2"/>
        <v>3.3086705501097692E-2</v>
      </c>
      <c r="G13" s="18">
        <v>102.80181936444471</v>
      </c>
      <c r="H13" s="8"/>
      <c r="I13" s="20">
        <v>3.9699999999999999E-2</v>
      </c>
      <c r="J13" s="21">
        <v>169.35289621781109</v>
      </c>
      <c r="K13" s="21">
        <f t="shared" si="0"/>
        <v>47.733352392531827</v>
      </c>
      <c r="L13" s="5"/>
      <c r="M13" s="6"/>
      <c r="N13" s="6"/>
      <c r="O13" s="7">
        <v>132.26097287607959</v>
      </c>
      <c r="P13" s="13">
        <v>2109</v>
      </c>
      <c r="Q13" s="13">
        <v>14119</v>
      </c>
      <c r="R13" s="13"/>
      <c r="S13" s="9">
        <f t="shared" si="1"/>
        <v>6.6946420104314841</v>
      </c>
    </row>
    <row r="14" spans="1:20" x14ac:dyDescent="0.45">
      <c r="A14" s="11">
        <v>38353</v>
      </c>
      <c r="B14" s="1">
        <v>-2.4720872212398297</v>
      </c>
      <c r="C14">
        <f>IF(B14&lt;2,0, 1)</f>
        <v>0</v>
      </c>
      <c r="D14">
        <v>2.875</v>
      </c>
      <c r="E14" s="2">
        <v>148674188</v>
      </c>
      <c r="F14" s="17">
        <f t="shared" si="2"/>
        <v>7.9712366862069173E-3</v>
      </c>
      <c r="G14" s="18">
        <v>105.69512344338101</v>
      </c>
      <c r="H14" s="19">
        <f>(G14-G2)/G2</f>
        <v>7.5918692526205644E-2</v>
      </c>
      <c r="I14" s="20">
        <v>3.3399999999999999E-2</v>
      </c>
      <c r="J14" s="21">
        <v>163.05501440753966</v>
      </c>
      <c r="K14" s="21">
        <f t="shared" si="0"/>
        <v>41.435470582260393</v>
      </c>
      <c r="L14" s="5">
        <f>K2</f>
        <v>37.917304195636689</v>
      </c>
      <c r="M14" s="6"/>
      <c r="N14" s="6"/>
      <c r="O14" s="7">
        <v>134.69762382437119</v>
      </c>
      <c r="P14" s="13">
        <v>1901</v>
      </c>
      <c r="Q14" s="13">
        <v>14920</v>
      </c>
      <c r="R14" s="22">
        <f>(Q14/Q2)-1</f>
        <v>0.59982843662877983</v>
      </c>
      <c r="S14" s="9">
        <f t="shared" si="1"/>
        <v>7.8485007890583907</v>
      </c>
    </row>
    <row r="15" spans="1:20" x14ac:dyDescent="0.45">
      <c r="A15" s="11">
        <v>38384</v>
      </c>
      <c r="B15" s="1">
        <v>-0.52310646086170298</v>
      </c>
      <c r="C15">
        <f>IF(B15&lt;2,0, 1)</f>
        <v>0</v>
      </c>
      <c r="D15">
        <v>2.875</v>
      </c>
      <c r="E15" s="2">
        <v>150156357</v>
      </c>
      <c r="F15" s="17">
        <f t="shared" si="2"/>
        <v>9.9692422735814766E-3</v>
      </c>
      <c r="G15" s="18">
        <v>106.02277054224086</v>
      </c>
      <c r="H15" s="19">
        <f t="shared" ref="H15:H78" si="3">(G15-G3)/G3</f>
        <v>8.0899309980986378E-2</v>
      </c>
      <c r="I15" s="20">
        <v>3.3399999999999999E-2</v>
      </c>
      <c r="J15" s="21">
        <v>164.58133764531507</v>
      </c>
      <c r="K15" s="21">
        <f t="shared" si="0"/>
        <v>42.961793820035808</v>
      </c>
      <c r="L15" s="5">
        <f t="shared" ref="L15:L78" si="4">K3</f>
        <v>38.043171531725392</v>
      </c>
      <c r="M15" s="6"/>
      <c r="N15" s="6"/>
      <c r="O15" s="7">
        <v>136.28570791446671</v>
      </c>
      <c r="P15" s="13">
        <v>1867</v>
      </c>
      <c r="Q15" s="13">
        <v>15003</v>
      </c>
      <c r="R15" s="22">
        <f t="shared" ref="R15:R78" si="5">(Q15/Q3)-1</f>
        <v>0.45815919914471759</v>
      </c>
      <c r="S15" s="9">
        <f t="shared" si="1"/>
        <v>8.0358864488484194</v>
      </c>
    </row>
    <row r="16" spans="1:20" x14ac:dyDescent="0.45">
      <c r="A16" s="11">
        <v>38412</v>
      </c>
      <c r="B16" s="1">
        <v>1.2582703578266283</v>
      </c>
      <c r="C16">
        <f>IF(B16&lt;2,0, 1)</f>
        <v>0</v>
      </c>
      <c r="D16">
        <v>3.3125</v>
      </c>
      <c r="E16" s="2">
        <v>148665602</v>
      </c>
      <c r="F16" s="17">
        <f t="shared" si="2"/>
        <v>-9.9280178993687226E-3</v>
      </c>
      <c r="G16" s="18">
        <v>106.89847542623102</v>
      </c>
      <c r="H16" s="19">
        <f t="shared" si="3"/>
        <v>9.4553945142847207E-2</v>
      </c>
      <c r="I16" s="20">
        <v>3.3399999999999999E-2</v>
      </c>
      <c r="J16" s="21">
        <v>158.60389484732272</v>
      </c>
      <c r="K16" s="21">
        <f t="shared" si="0"/>
        <v>36.984351022043455</v>
      </c>
      <c r="L16" s="5">
        <f t="shared" si="4"/>
        <v>33.49867642023753</v>
      </c>
      <c r="M16" s="6"/>
      <c r="N16" s="6"/>
      <c r="O16" s="7">
        <v>148.90606398009919</v>
      </c>
      <c r="P16" s="13">
        <v>2198</v>
      </c>
      <c r="Q16" s="13">
        <v>15003</v>
      </c>
      <c r="R16" s="22">
        <f t="shared" si="5"/>
        <v>0.4265474945326615</v>
      </c>
      <c r="S16" s="9">
        <f t="shared" si="1"/>
        <v>6.8257506824385805</v>
      </c>
    </row>
    <row r="17" spans="1:20" x14ac:dyDescent="0.45">
      <c r="A17" s="11">
        <v>38443</v>
      </c>
      <c r="B17" s="1">
        <v>2.1464599912564344</v>
      </c>
      <c r="C17">
        <f>IF(B17&lt;2,0, 1)</f>
        <v>1</v>
      </c>
      <c r="D17">
        <v>4.6875</v>
      </c>
      <c r="E17" s="2">
        <v>153274082</v>
      </c>
      <c r="F17" s="17">
        <f t="shared" si="2"/>
        <v>3.0998966391701022E-2</v>
      </c>
      <c r="G17" s="18">
        <v>107.89010077896758</v>
      </c>
      <c r="H17" s="19">
        <f t="shared" si="3"/>
        <v>0.13418823422599324</v>
      </c>
      <c r="I17" s="20">
        <v>3.3399999999999999E-2</v>
      </c>
      <c r="J17" s="21">
        <v>161.30177688074536</v>
      </c>
      <c r="K17" s="21">
        <f t="shared" si="0"/>
        <v>39.682233055466099</v>
      </c>
      <c r="L17" s="5">
        <f t="shared" si="4"/>
        <v>29.545308454104941</v>
      </c>
      <c r="M17" s="6"/>
      <c r="N17" s="6"/>
      <c r="O17" s="7">
        <v>148.65673953930451</v>
      </c>
      <c r="P17" s="13">
        <v>2380</v>
      </c>
      <c r="Q17" s="13">
        <v>15763</v>
      </c>
      <c r="R17" s="22">
        <f t="shared" si="5"/>
        <v>0.43678789536049578</v>
      </c>
      <c r="S17" s="9">
        <f t="shared" si="1"/>
        <v>6.6231092436974786</v>
      </c>
    </row>
    <row r="18" spans="1:20" x14ac:dyDescent="0.45">
      <c r="A18" s="11">
        <v>38473</v>
      </c>
      <c r="B18" s="1">
        <v>-0.63133747943993745</v>
      </c>
      <c r="C18">
        <f>IF(B18&lt;2,0, 1)</f>
        <v>0</v>
      </c>
      <c r="D18">
        <v>5</v>
      </c>
      <c r="E18" s="2">
        <v>156033978</v>
      </c>
      <c r="F18" s="17">
        <f t="shared" si="2"/>
        <v>1.8006279757069431E-2</v>
      </c>
      <c r="G18" s="18">
        <v>109.13967926539567</v>
      </c>
      <c r="H18" s="19">
        <f t="shared" si="3"/>
        <v>0.12532089004756217</v>
      </c>
      <c r="I18" s="20">
        <v>3.3399999999999999E-2</v>
      </c>
      <c r="J18" s="21">
        <v>160.2552115475348</v>
      </c>
      <c r="K18" s="21">
        <f t="shared" si="0"/>
        <v>38.635667722255533</v>
      </c>
      <c r="L18" s="5">
        <f t="shared" si="4"/>
        <v>33.427039786331534</v>
      </c>
      <c r="M18" s="6"/>
      <c r="N18" s="6"/>
      <c r="O18" s="7">
        <v>148.19622156933789</v>
      </c>
      <c r="P18" s="13">
        <v>2476</v>
      </c>
      <c r="Q18" s="13">
        <v>16705</v>
      </c>
      <c r="R18" s="22">
        <f t="shared" si="5"/>
        <v>0.4687005451028663</v>
      </c>
      <c r="S18" s="9">
        <f t="shared" si="1"/>
        <v>6.7467689822294021</v>
      </c>
    </row>
    <row r="19" spans="1:20" x14ac:dyDescent="0.45">
      <c r="A19" s="11">
        <v>38504</v>
      </c>
      <c r="B19" s="1">
        <v>0.51155023806368627</v>
      </c>
      <c r="C19">
        <f>IF(B19&lt;2,0, 1)</f>
        <v>0</v>
      </c>
      <c r="D19">
        <v>5.9375</v>
      </c>
      <c r="E19" s="2">
        <v>158515514</v>
      </c>
      <c r="F19" s="17">
        <f t="shared" si="2"/>
        <v>1.5903818077367737E-2</v>
      </c>
      <c r="G19" s="18">
        <v>108.61226921540045</v>
      </c>
      <c r="H19" s="19">
        <f t="shared" si="3"/>
        <v>9.9404639983875692E-2</v>
      </c>
      <c r="I19" s="20">
        <v>3.3399999999999999E-2</v>
      </c>
      <c r="J19" s="21">
        <v>159.90864833290107</v>
      </c>
      <c r="K19" s="21">
        <f t="shared" si="0"/>
        <v>38.289104507621801</v>
      </c>
      <c r="L19" s="5">
        <f t="shared" si="4"/>
        <v>32.456791121916694</v>
      </c>
      <c r="M19" s="6"/>
      <c r="N19" s="6"/>
      <c r="O19" s="7">
        <v>157.17843033703929</v>
      </c>
      <c r="P19" s="13">
        <v>2724</v>
      </c>
      <c r="Q19" s="13">
        <v>17443</v>
      </c>
      <c r="R19" s="22">
        <f t="shared" si="5"/>
        <v>0.43174915866371166</v>
      </c>
      <c r="S19" s="9">
        <f t="shared" si="1"/>
        <v>6.4034508076358296</v>
      </c>
    </row>
    <row r="20" spans="1:20" x14ac:dyDescent="0.45">
      <c r="A20" s="11">
        <v>38534</v>
      </c>
      <c r="B20" s="1">
        <v>-1.3681998932431432</v>
      </c>
      <c r="C20">
        <f>IF(B20&lt;2,0, 1)</f>
        <v>0</v>
      </c>
      <c r="D20">
        <v>6.1875</v>
      </c>
      <c r="E20" s="2">
        <v>161513923</v>
      </c>
      <c r="F20" s="17">
        <f t="shared" si="2"/>
        <v>1.8915555483105584E-2</v>
      </c>
      <c r="G20" s="18">
        <v>109.11753390828906</v>
      </c>
      <c r="H20" s="19">
        <f t="shared" si="3"/>
        <v>8.1803768493668813E-2</v>
      </c>
      <c r="I20" s="20">
        <v>3.3399999999999999E-2</v>
      </c>
      <c r="J20" s="21">
        <v>157.38527966056441</v>
      </c>
      <c r="K20" s="21">
        <f t="shared" si="0"/>
        <v>35.765735835285142</v>
      </c>
      <c r="L20" s="5">
        <f t="shared" si="4"/>
        <v>34.514178966395548</v>
      </c>
      <c r="M20" s="6"/>
      <c r="N20" s="6"/>
      <c r="O20" s="7">
        <v>157.74196673192739</v>
      </c>
      <c r="P20" s="13">
        <v>2349</v>
      </c>
      <c r="Q20" s="13">
        <v>18068</v>
      </c>
      <c r="R20" s="22">
        <f t="shared" si="5"/>
        <v>0.33995846929694462</v>
      </c>
      <c r="S20" s="9">
        <f t="shared" si="1"/>
        <v>7.6917837377607494</v>
      </c>
    </row>
    <row r="21" spans="1:20" x14ac:dyDescent="0.45">
      <c r="A21" s="11">
        <v>38565</v>
      </c>
      <c r="B21" s="1">
        <v>-0.45978050604498588</v>
      </c>
      <c r="C21">
        <f>IF(B21&lt;2,0, 1)</f>
        <v>0</v>
      </c>
      <c r="D21">
        <v>5.5</v>
      </c>
      <c r="E21" s="2">
        <v>163019259</v>
      </c>
      <c r="F21" s="17">
        <f t="shared" si="2"/>
        <v>9.3201624481624411E-3</v>
      </c>
      <c r="G21" s="18">
        <v>109.40820989231061</v>
      </c>
      <c r="H21" s="19">
        <f t="shared" si="3"/>
        <v>7.099358131446229E-2</v>
      </c>
      <c r="I21" s="20">
        <v>3.3399999999999999E-2</v>
      </c>
      <c r="J21" s="21">
        <v>161.45425185266615</v>
      </c>
      <c r="K21" s="21">
        <f t="shared" si="0"/>
        <v>39.834708027386881</v>
      </c>
      <c r="L21" s="5">
        <f t="shared" si="4"/>
        <v>38.327280532515601</v>
      </c>
      <c r="M21" s="6"/>
      <c r="N21" s="6"/>
      <c r="O21" s="7">
        <v>151.48564059983181</v>
      </c>
      <c r="P21" s="13">
        <v>2626</v>
      </c>
      <c r="Q21" s="13">
        <v>18076</v>
      </c>
      <c r="R21" s="22">
        <f t="shared" si="5"/>
        <v>0.33068315665488801</v>
      </c>
      <c r="S21" s="9">
        <f t="shared" si="1"/>
        <v>6.8834729626808837</v>
      </c>
    </row>
    <row r="22" spans="1:20" x14ac:dyDescent="0.45">
      <c r="A22" s="11">
        <v>38596</v>
      </c>
      <c r="B22" s="1">
        <v>0.42511397085500147</v>
      </c>
      <c r="C22">
        <f>IF(B22&lt;2,0, 1)</f>
        <v>0</v>
      </c>
      <c r="D22">
        <v>6.0625</v>
      </c>
      <c r="E22" s="2">
        <v>164959312</v>
      </c>
      <c r="F22" s="17">
        <f t="shared" si="2"/>
        <v>1.1900759529277457E-2</v>
      </c>
      <c r="G22" s="18">
        <v>109.35344963477499</v>
      </c>
      <c r="H22" s="19">
        <f t="shared" si="3"/>
        <v>6.7426574599249986E-2</v>
      </c>
      <c r="I22" s="20">
        <v>3.3399999999999999E-2</v>
      </c>
      <c r="J22" s="21">
        <v>162.70038787286956</v>
      </c>
      <c r="K22" s="21">
        <f t="shared" si="0"/>
        <v>41.08084404759029</v>
      </c>
      <c r="L22" s="5">
        <f t="shared" si="4"/>
        <v>38.879826769342117</v>
      </c>
      <c r="M22" s="6"/>
      <c r="N22" s="6"/>
      <c r="O22" s="7">
        <v>144.4737792305252</v>
      </c>
      <c r="P22" s="13">
        <v>2468</v>
      </c>
      <c r="Q22" s="13">
        <v>18224</v>
      </c>
      <c r="R22" s="22">
        <f t="shared" si="5"/>
        <v>0.3593913173206027</v>
      </c>
      <c r="S22" s="9">
        <f t="shared" si="1"/>
        <v>7.3841166936790925</v>
      </c>
    </row>
    <row r="23" spans="1:20" x14ac:dyDescent="0.45">
      <c r="A23" s="11">
        <v>38626</v>
      </c>
      <c r="B23" s="1">
        <v>0.35944280255836392</v>
      </c>
      <c r="C23">
        <f>IF(B23&lt;2,0, 1)</f>
        <v>0</v>
      </c>
      <c r="D23">
        <v>6.3125</v>
      </c>
      <c r="E23" s="2">
        <v>168319988</v>
      </c>
      <c r="F23" s="17">
        <f t="shared" si="2"/>
        <v>2.0372757131770773E-2</v>
      </c>
      <c r="G23" s="18">
        <v>109.94744759835586</v>
      </c>
      <c r="H23" s="19">
        <f t="shared" si="3"/>
        <v>6.5811054363111104E-2</v>
      </c>
      <c r="I23" s="20">
        <v>3.3399999999999999E-2</v>
      </c>
      <c r="J23" s="21">
        <v>166.02123381746577</v>
      </c>
      <c r="K23" s="21">
        <f t="shared" si="0"/>
        <v>44.401689992186505</v>
      </c>
      <c r="L23" s="5">
        <f t="shared" si="4"/>
        <v>39.439151505765551</v>
      </c>
      <c r="M23" s="6"/>
      <c r="N23" s="6"/>
      <c r="O23" s="7">
        <v>142.93785095607981</v>
      </c>
      <c r="P23" s="13">
        <v>2503</v>
      </c>
      <c r="Q23" s="13">
        <v>18587</v>
      </c>
      <c r="R23" s="22">
        <f t="shared" si="5"/>
        <v>0.44062935978917994</v>
      </c>
      <c r="S23" s="9">
        <f t="shared" si="1"/>
        <v>7.4258889332800635</v>
      </c>
    </row>
    <row r="24" spans="1:20" x14ac:dyDescent="0.45">
      <c r="A24" s="11">
        <v>38657</v>
      </c>
      <c r="B24" s="1">
        <v>1.3372427922638463</v>
      </c>
      <c r="C24">
        <f>IF(B24&lt;2,0, 1)</f>
        <v>0</v>
      </c>
      <c r="D24">
        <v>7.875</v>
      </c>
      <c r="E24" s="2">
        <v>169947963</v>
      </c>
      <c r="F24" s="17">
        <f t="shared" si="2"/>
        <v>9.6719053948601755E-3</v>
      </c>
      <c r="G24" s="18">
        <v>111.19765233284097</v>
      </c>
      <c r="H24" s="19">
        <f t="shared" si="3"/>
        <v>7.2503578081424921E-2</v>
      </c>
      <c r="I24" s="20">
        <v>3.3399999999999999E-2</v>
      </c>
      <c r="J24" s="21">
        <v>163.36652525184064</v>
      </c>
      <c r="K24" s="21">
        <f t="shared" si="0"/>
        <v>41.746981426561376</v>
      </c>
      <c r="L24" s="5">
        <f t="shared" si="4"/>
        <v>43.383487751785736</v>
      </c>
      <c r="M24" s="6"/>
      <c r="N24" s="6"/>
      <c r="O24" s="7">
        <v>142.17693828471269</v>
      </c>
      <c r="P24" s="13">
        <v>2701</v>
      </c>
      <c r="Q24" s="13">
        <v>18944</v>
      </c>
      <c r="R24" s="22">
        <f t="shared" si="5"/>
        <v>0.40502855447600683</v>
      </c>
      <c r="S24" s="9">
        <f t="shared" si="1"/>
        <v>7.0136986301369859</v>
      </c>
    </row>
    <row r="25" spans="1:20" x14ac:dyDescent="0.45">
      <c r="A25" s="11">
        <v>38687</v>
      </c>
      <c r="B25" s="1">
        <v>-0.74385872224800531</v>
      </c>
      <c r="C25">
        <f>IF(B25&lt;2,0, 1)</f>
        <v>0</v>
      </c>
      <c r="D25">
        <v>7.625</v>
      </c>
      <c r="E25" s="2">
        <v>177179697</v>
      </c>
      <c r="F25" s="17">
        <f t="shared" si="2"/>
        <v>4.2552637126930436E-2</v>
      </c>
      <c r="G25" s="18">
        <v>112.9372071391232</v>
      </c>
      <c r="H25" s="19">
        <f t="shared" si="3"/>
        <v>9.8591521408267421E-2</v>
      </c>
      <c r="I25" s="20">
        <v>3.3399999999999999E-2</v>
      </c>
      <c r="J25" s="21">
        <v>162.46702948626341</v>
      </c>
      <c r="K25" s="21">
        <f t="shared" si="0"/>
        <v>40.847485660984148</v>
      </c>
      <c r="L25" s="5">
        <f t="shared" si="4"/>
        <v>47.733352392531827</v>
      </c>
      <c r="M25" s="6"/>
      <c r="N25" s="6"/>
      <c r="O25" s="7">
        <v>147.72060263364861</v>
      </c>
      <c r="P25" s="13">
        <v>2495</v>
      </c>
      <c r="Q25" s="13">
        <v>19646</v>
      </c>
      <c r="R25" s="22">
        <f t="shared" si="5"/>
        <v>0.39145831857780289</v>
      </c>
      <c r="S25" s="9">
        <f t="shared" si="1"/>
        <v>7.8741482965931864</v>
      </c>
    </row>
    <row r="26" spans="1:20" x14ac:dyDescent="0.45">
      <c r="A26" s="11">
        <v>38718</v>
      </c>
      <c r="B26" s="1">
        <v>5.3687255588907554</v>
      </c>
      <c r="C26">
        <f>IF(B26&lt;2,0, 1)</f>
        <v>1</v>
      </c>
      <c r="D26">
        <v>8.0625</v>
      </c>
      <c r="E26" s="2">
        <v>178742132</v>
      </c>
      <c r="F26" s="17">
        <f t="shared" si="2"/>
        <v>8.8183636525803518E-3</v>
      </c>
      <c r="G26" s="18">
        <v>113.81299844261889</v>
      </c>
      <c r="H26" s="19">
        <f t="shared" si="3"/>
        <v>7.680463142262646E-2</v>
      </c>
      <c r="I26" s="20">
        <v>1.6500000000000001E-2</v>
      </c>
      <c r="J26" s="21">
        <v>167.1113071679915</v>
      </c>
      <c r="K26" s="21">
        <f t="shared" si="0"/>
        <v>45.491763342712233</v>
      </c>
      <c r="L26" s="5">
        <f t="shared" si="4"/>
        <v>41.435470582260393</v>
      </c>
      <c r="M26" s="6"/>
      <c r="N26" s="6"/>
      <c r="O26" s="7">
        <v>151.38650175077339</v>
      </c>
      <c r="P26" s="13">
        <v>2324</v>
      </c>
      <c r="Q26" s="13">
        <v>20137</v>
      </c>
      <c r="R26" s="22">
        <f t="shared" si="5"/>
        <v>0.34966487935656843</v>
      </c>
      <c r="S26" s="9">
        <f t="shared" si="1"/>
        <v>8.6648020654044746</v>
      </c>
      <c r="T26" s="12">
        <v>130145.32115877768</v>
      </c>
    </row>
    <row r="27" spans="1:20" x14ac:dyDescent="0.45">
      <c r="A27" s="11">
        <v>38749</v>
      </c>
      <c r="B27" s="1">
        <v>-1.1704246359076851</v>
      </c>
      <c r="C27">
        <f>IF(B27&lt;2,0, 1)</f>
        <v>0</v>
      </c>
      <c r="D27">
        <v>7.375</v>
      </c>
      <c r="E27" s="2">
        <v>179591580</v>
      </c>
      <c r="F27" s="17">
        <f t="shared" si="2"/>
        <v>4.752365827213027E-3</v>
      </c>
      <c r="G27" s="18">
        <v>114.71756538147066</v>
      </c>
      <c r="H27" s="19">
        <f t="shared" si="3"/>
        <v>8.2008749580503373E-2</v>
      </c>
      <c r="I27" s="20">
        <v>1.6500000000000001E-2</v>
      </c>
      <c r="J27" s="21">
        <v>169.29424472361359</v>
      </c>
      <c r="K27" s="21">
        <f t="shared" si="0"/>
        <v>47.674700898334322</v>
      </c>
      <c r="L27" s="5">
        <f t="shared" si="4"/>
        <v>42.961793820035808</v>
      </c>
      <c r="M27" s="6"/>
      <c r="N27" s="6"/>
      <c r="O27" s="7">
        <v>150.0374513576227</v>
      </c>
      <c r="P27" s="13">
        <v>2326</v>
      </c>
      <c r="Q27" s="13">
        <v>20792</v>
      </c>
      <c r="R27" s="22">
        <f t="shared" si="5"/>
        <v>0.38585616210091311</v>
      </c>
      <c r="S27" s="9">
        <f t="shared" si="1"/>
        <v>8.9389509888220129</v>
      </c>
      <c r="T27" s="12">
        <v>130145.32115877768</v>
      </c>
    </row>
    <row r="28" spans="1:20" x14ac:dyDescent="0.45">
      <c r="A28" s="11">
        <v>38777</v>
      </c>
      <c r="B28" s="1">
        <v>0.35460301918966108</v>
      </c>
      <c r="C28">
        <f>IF(B28&lt;2,0, 1)</f>
        <v>0</v>
      </c>
      <c r="D28">
        <v>8.625</v>
      </c>
      <c r="E28" s="2">
        <v>181310733</v>
      </c>
      <c r="F28" s="17">
        <f t="shared" si="2"/>
        <v>9.572570161696891E-3</v>
      </c>
      <c r="G28" s="18">
        <v>114.22816475352703</v>
      </c>
      <c r="H28" s="19">
        <f t="shared" si="3"/>
        <v>6.8566827525562923E-2</v>
      </c>
      <c r="I28" s="20">
        <v>1.6500000000000001E-2</v>
      </c>
      <c r="J28" s="21">
        <v>166.78895495210472</v>
      </c>
      <c r="K28" s="21">
        <f t="shared" si="0"/>
        <v>45.169411126825452</v>
      </c>
      <c r="L28" s="5">
        <f t="shared" si="4"/>
        <v>36.984351022043455</v>
      </c>
      <c r="M28" s="6"/>
      <c r="N28" s="6"/>
      <c r="O28" s="7">
        <v>150.9497541853967</v>
      </c>
      <c r="P28" s="13">
        <v>2722</v>
      </c>
      <c r="Q28" s="13">
        <v>20339</v>
      </c>
      <c r="R28" s="22">
        <f t="shared" si="5"/>
        <v>0.3556622008931547</v>
      </c>
      <c r="S28" s="9">
        <f t="shared" si="1"/>
        <v>7.4720793534166052</v>
      </c>
      <c r="T28" s="12">
        <v>130145.32115877768</v>
      </c>
    </row>
    <row r="29" spans="1:20" x14ac:dyDescent="0.45">
      <c r="A29" s="11">
        <v>38808</v>
      </c>
      <c r="B29" s="1">
        <v>-0.61392589784756224</v>
      </c>
      <c r="C29">
        <f>IF(B29&lt;2,0, 1)</f>
        <v>0</v>
      </c>
      <c r="D29">
        <v>9</v>
      </c>
      <c r="E29" s="2">
        <v>184518599</v>
      </c>
      <c r="F29" s="17">
        <f t="shared" si="2"/>
        <v>1.7692642608201248E-2</v>
      </c>
      <c r="G29" s="18">
        <v>115.8123765979513</v>
      </c>
      <c r="H29" s="19">
        <f t="shared" si="3"/>
        <v>7.3429126136548326E-2</v>
      </c>
      <c r="I29" s="20">
        <v>1.6500000000000001E-2</v>
      </c>
      <c r="J29" s="21">
        <v>168.27692162830107</v>
      </c>
      <c r="K29" s="21">
        <f t="shared" si="0"/>
        <v>46.657377803021802</v>
      </c>
      <c r="L29" s="5">
        <f t="shared" si="4"/>
        <v>39.682233055466099</v>
      </c>
      <c r="M29" s="6"/>
      <c r="N29" s="6"/>
      <c r="O29" s="7">
        <v>157.26009399922381</v>
      </c>
      <c r="P29" s="13">
        <v>2545</v>
      </c>
      <c r="Q29" s="13">
        <v>20904</v>
      </c>
      <c r="R29" s="22">
        <f t="shared" si="5"/>
        <v>0.32614350060267716</v>
      </c>
      <c r="S29" s="9">
        <f t="shared" si="1"/>
        <v>8.213752455795678</v>
      </c>
      <c r="T29" s="12">
        <v>133565.59131726506</v>
      </c>
    </row>
    <row r="30" spans="1:20" x14ac:dyDescent="0.45">
      <c r="A30" s="11">
        <v>38838</v>
      </c>
      <c r="B30" s="1">
        <v>-0.9833725028188347</v>
      </c>
      <c r="C30">
        <f>IF(B30&lt;2,0, 1)</f>
        <v>0</v>
      </c>
      <c r="D30">
        <v>8.9375</v>
      </c>
      <c r="E30" s="2">
        <v>189966677</v>
      </c>
      <c r="F30" s="17">
        <f t="shared" si="2"/>
        <v>2.9525901613853031E-2</v>
      </c>
      <c r="G30" s="18">
        <v>115.18233499026566</v>
      </c>
      <c r="H30" s="19">
        <f t="shared" si="3"/>
        <v>5.5366258775381066E-2</v>
      </c>
      <c r="I30" s="20">
        <v>1.6500000000000001E-2</v>
      </c>
      <c r="J30" s="21">
        <v>164.07617592838932</v>
      </c>
      <c r="K30" s="21">
        <f t="shared" si="0"/>
        <v>42.456632103110053</v>
      </c>
      <c r="L30" s="5">
        <f t="shared" si="4"/>
        <v>38.635667722255533</v>
      </c>
      <c r="M30" s="6"/>
      <c r="N30" s="6"/>
      <c r="O30" s="7">
        <v>163.84636136998509</v>
      </c>
      <c r="P30" s="13">
        <v>2826</v>
      </c>
      <c r="Q30" s="13">
        <v>22103</v>
      </c>
      <c r="R30" s="22">
        <f t="shared" si="5"/>
        <v>0.32313678539359469</v>
      </c>
      <c r="S30" s="9">
        <f t="shared" si="1"/>
        <v>7.8213021939136587</v>
      </c>
      <c r="T30" s="12">
        <v>133565.59131726506</v>
      </c>
    </row>
    <row r="31" spans="1:20" x14ac:dyDescent="0.45">
      <c r="A31" s="11">
        <v>38869</v>
      </c>
      <c r="B31" s="1">
        <v>-0.81359748769388796</v>
      </c>
      <c r="C31">
        <f>IF(B31&lt;2,0, 1)</f>
        <v>0</v>
      </c>
      <c r="D31">
        <v>9.125</v>
      </c>
      <c r="E31" s="2">
        <v>195202175</v>
      </c>
      <c r="F31" s="17">
        <f t="shared" si="2"/>
        <v>2.7560086235545407E-2</v>
      </c>
      <c r="G31" s="18">
        <v>116.25358841650514</v>
      </c>
      <c r="H31" s="19">
        <f t="shared" si="3"/>
        <v>7.0354106919084683E-2</v>
      </c>
      <c r="I31" s="20">
        <v>1.6500000000000001E-2</v>
      </c>
      <c r="J31" s="21">
        <v>167.01138718500047</v>
      </c>
      <c r="K31" s="21">
        <f t="shared" si="0"/>
        <v>45.391843359721207</v>
      </c>
      <c r="L31" s="5">
        <f t="shared" si="4"/>
        <v>38.289104507621801</v>
      </c>
      <c r="M31" s="6"/>
      <c r="N31" s="6"/>
      <c r="O31" s="7">
        <v>161.0251159525348</v>
      </c>
      <c r="P31" s="13">
        <v>2859</v>
      </c>
      <c r="Q31" s="13">
        <v>23052</v>
      </c>
      <c r="R31" s="22">
        <f t="shared" si="5"/>
        <v>0.32156165797167913</v>
      </c>
      <c r="S31" s="9">
        <f t="shared" si="1"/>
        <v>8.0629590766002099</v>
      </c>
      <c r="T31" s="12">
        <v>133565.59131726506</v>
      </c>
    </row>
    <row r="32" spans="1:20" x14ac:dyDescent="0.45">
      <c r="A32" s="11">
        <v>38899</v>
      </c>
      <c r="B32" s="1">
        <v>-0.30730133824203359</v>
      </c>
      <c r="C32">
        <f>IF(B32&lt;2,0, 1)</f>
        <v>0</v>
      </c>
      <c r="D32">
        <v>9.4375</v>
      </c>
      <c r="E32" s="2">
        <v>199090415</v>
      </c>
      <c r="F32" s="17">
        <f t="shared" si="2"/>
        <v>1.9919040348807589E-2</v>
      </c>
      <c r="G32" s="18">
        <v>118.13085783214872</v>
      </c>
      <c r="H32" s="19">
        <f t="shared" si="3"/>
        <v>8.2601976062207969E-2</v>
      </c>
      <c r="I32" s="20">
        <v>1.6500000000000001E-2</v>
      </c>
      <c r="J32" s="21">
        <v>165.53568135905385</v>
      </c>
      <c r="K32" s="21">
        <f t="shared" si="0"/>
        <v>43.916137533774588</v>
      </c>
      <c r="L32" s="5">
        <f t="shared" si="4"/>
        <v>35.765735835285142</v>
      </c>
      <c r="M32" s="6"/>
      <c r="N32" s="6"/>
      <c r="O32" s="7">
        <v>163.97985707131909</v>
      </c>
      <c r="P32" s="13">
        <v>2852</v>
      </c>
      <c r="Q32" s="13">
        <v>25105</v>
      </c>
      <c r="R32" s="22">
        <f t="shared" si="5"/>
        <v>0.38947310161611681</v>
      </c>
      <c r="S32" s="9">
        <f t="shared" si="1"/>
        <v>8.8025946704067319</v>
      </c>
      <c r="T32" s="12">
        <v>133936.59195708676</v>
      </c>
    </row>
    <row r="33" spans="1:20" x14ac:dyDescent="0.45">
      <c r="A33" s="11">
        <v>38930</v>
      </c>
      <c r="B33" s="1">
        <v>-0.52619949437465197</v>
      </c>
      <c r="C33">
        <f>IF(B33&lt;2,0, 1)</f>
        <v>0</v>
      </c>
      <c r="D33">
        <v>9.4375</v>
      </c>
      <c r="E33" s="2">
        <v>201672628</v>
      </c>
      <c r="F33" s="17">
        <f t="shared" si="2"/>
        <v>1.297005182293683E-2</v>
      </c>
      <c r="G33" s="18">
        <v>118.86856732184917</v>
      </c>
      <c r="H33" s="19">
        <f t="shared" si="3"/>
        <v>8.6468441800211293E-2</v>
      </c>
      <c r="I33" s="20">
        <v>1.6500000000000001E-2</v>
      </c>
      <c r="J33" s="21">
        <v>167.34857110325464</v>
      </c>
      <c r="K33" s="21">
        <f t="shared" si="0"/>
        <v>45.729027277975376</v>
      </c>
      <c r="L33" s="5">
        <f t="shared" si="4"/>
        <v>39.834708027386881</v>
      </c>
      <c r="M33" s="6"/>
      <c r="N33" s="6"/>
      <c r="O33" s="7">
        <v>159.6431784108907</v>
      </c>
      <c r="P33" s="13">
        <v>3281</v>
      </c>
      <c r="Q33" s="13">
        <v>25252</v>
      </c>
      <c r="R33" s="22">
        <f t="shared" si="5"/>
        <v>0.39699048462049125</v>
      </c>
      <c r="S33" s="9">
        <f t="shared" si="1"/>
        <v>7.6964340140201157</v>
      </c>
      <c r="T33" s="12">
        <v>133936.59195708676</v>
      </c>
    </row>
    <row r="34" spans="1:20" x14ac:dyDescent="0.45">
      <c r="A34" s="11">
        <v>38961</v>
      </c>
      <c r="B34" s="1">
        <v>-0.33968291780473986</v>
      </c>
      <c r="C34">
        <f>IF(B34&lt;2,0, 1)</f>
        <v>0</v>
      </c>
      <c r="D34">
        <v>9.5</v>
      </c>
      <c r="E34" s="2">
        <v>205168754</v>
      </c>
      <c r="F34" s="17">
        <f t="shared" si="2"/>
        <v>1.7335649535939999E-2</v>
      </c>
      <c r="G34" s="18">
        <v>119.84831466275621</v>
      </c>
      <c r="H34" s="19">
        <f t="shared" si="3"/>
        <v>9.5971961223286328E-2</v>
      </c>
      <c r="I34" s="20">
        <v>1.6500000000000001E-2</v>
      </c>
      <c r="J34" s="21">
        <v>165.13291043375972</v>
      </c>
      <c r="K34" s="21">
        <f t="shared" si="0"/>
        <v>43.513366608480453</v>
      </c>
      <c r="L34" s="5">
        <f t="shared" si="4"/>
        <v>41.08084404759029</v>
      </c>
      <c r="M34" s="6"/>
      <c r="N34" s="6"/>
      <c r="O34" s="7">
        <v>159.15954804765951</v>
      </c>
      <c r="P34" s="13">
        <v>3169</v>
      </c>
      <c r="Q34" s="13">
        <v>25614</v>
      </c>
      <c r="R34" s="22">
        <f t="shared" si="5"/>
        <v>0.40550921861281819</v>
      </c>
      <c r="S34" s="9">
        <f t="shared" si="1"/>
        <v>8.0826759230041016</v>
      </c>
      <c r="T34" s="12">
        <v>133936.59195708676</v>
      </c>
    </row>
    <row r="35" spans="1:20" x14ac:dyDescent="0.45">
      <c r="A35" s="11">
        <v>38991</v>
      </c>
      <c r="B35" s="1">
        <v>-0.61467004050416341</v>
      </c>
      <c r="C35">
        <f>IF(B35&lt;2,0, 1)</f>
        <v>0</v>
      </c>
      <c r="D35">
        <v>9.5625</v>
      </c>
      <c r="E35" s="2">
        <v>208413926</v>
      </c>
      <c r="F35" s="17">
        <f t="shared" si="2"/>
        <v>1.5817086845495001E-2</v>
      </c>
      <c r="G35" s="18">
        <v>120.55793475094556</v>
      </c>
      <c r="H35" s="19">
        <f t="shared" si="3"/>
        <v>9.6505079329812157E-2</v>
      </c>
      <c r="I35" s="20">
        <v>1.6500000000000001E-2</v>
      </c>
      <c r="J35" s="21">
        <v>164.60113868769113</v>
      </c>
      <c r="K35" s="21">
        <f t="shared" si="0"/>
        <v>42.981594862411868</v>
      </c>
      <c r="L35" s="5">
        <f t="shared" si="4"/>
        <v>44.401689992186505</v>
      </c>
      <c r="M35" s="10">
        <v>2.73761950777008E-2</v>
      </c>
      <c r="N35" s="10"/>
      <c r="O35" s="7">
        <v>164.11436987310361</v>
      </c>
      <c r="P35" s="13">
        <v>3255</v>
      </c>
      <c r="Q35" s="13">
        <v>26548</v>
      </c>
      <c r="R35" s="22">
        <f t="shared" si="5"/>
        <v>0.42831010921611878</v>
      </c>
      <c r="S35" s="9">
        <f t="shared" si="1"/>
        <v>8.1560675883256533</v>
      </c>
      <c r="T35" s="12">
        <v>137089.89396738238</v>
      </c>
    </row>
    <row r="36" spans="1:20" x14ac:dyDescent="0.45">
      <c r="A36" s="11">
        <v>39022</v>
      </c>
      <c r="B36" s="1">
        <v>-0.69168553013388157</v>
      </c>
      <c r="C36">
        <f>IF(B36&lt;2,0, 1)</f>
        <v>0</v>
      </c>
      <c r="D36">
        <v>9.75</v>
      </c>
      <c r="E36" s="2">
        <v>214403711</v>
      </c>
      <c r="F36" s="17">
        <f t="shared" si="2"/>
        <v>2.8739850138421171E-2</v>
      </c>
      <c r="G36" s="18">
        <v>120.62375987824393</v>
      </c>
      <c r="H36" s="19">
        <f t="shared" si="3"/>
        <v>8.4768943836947011E-2</v>
      </c>
      <c r="I36" s="20">
        <v>1.6500000000000001E-2</v>
      </c>
      <c r="J36" s="21">
        <v>163.40116435544024</v>
      </c>
      <c r="K36" s="21">
        <f t="shared" si="0"/>
        <v>41.781620530160978</v>
      </c>
      <c r="L36" s="5">
        <f t="shared" si="4"/>
        <v>41.746981426561376</v>
      </c>
      <c r="M36" s="10">
        <v>2.73761950777008E-2</v>
      </c>
      <c r="N36" s="10"/>
      <c r="O36" s="7">
        <v>172.632549206851</v>
      </c>
      <c r="P36" s="13">
        <v>3237</v>
      </c>
      <c r="Q36" s="13">
        <v>26525</v>
      </c>
      <c r="R36" s="22">
        <f t="shared" si="5"/>
        <v>0.40017947635135132</v>
      </c>
      <c r="S36" s="9">
        <f t="shared" si="1"/>
        <v>8.1943157244362066</v>
      </c>
      <c r="T36" s="12">
        <v>137089.89396738238</v>
      </c>
    </row>
    <row r="37" spans="1:20" x14ac:dyDescent="0.45">
      <c r="A37" s="11">
        <v>39052</v>
      </c>
      <c r="B37" s="1">
        <v>-0.82404620581911736</v>
      </c>
      <c r="C37">
        <f>IF(B37&lt;2,0, 1)</f>
        <v>0</v>
      </c>
      <c r="D37">
        <v>9.875</v>
      </c>
      <c r="E37" s="2">
        <v>220552608</v>
      </c>
      <c r="F37" s="17">
        <f t="shared" si="2"/>
        <v>2.8679060503761521E-2</v>
      </c>
      <c r="G37" s="18">
        <v>123.29695201621</v>
      </c>
      <c r="H37" s="19">
        <f t="shared" si="3"/>
        <v>9.1730131632571779E-2</v>
      </c>
      <c r="I37" s="20">
        <v>1.6500000000000001E-2</v>
      </c>
      <c r="J37" s="21">
        <v>162.74978388768639</v>
      </c>
      <c r="K37" s="21">
        <f t="shared" si="0"/>
        <v>41.130240062407125</v>
      </c>
      <c r="L37" s="5">
        <f t="shared" si="4"/>
        <v>40.847485660984148</v>
      </c>
      <c r="M37" s="10">
        <v>2.73761950777008E-2</v>
      </c>
      <c r="N37" s="10"/>
      <c r="O37" s="7">
        <v>171.35062511342221</v>
      </c>
      <c r="P37" s="13">
        <v>2756</v>
      </c>
      <c r="Q37" s="13">
        <v>28077</v>
      </c>
      <c r="R37" s="22">
        <f t="shared" si="5"/>
        <v>0.42914588211340732</v>
      </c>
      <c r="S37" s="9">
        <f t="shared" si="1"/>
        <v>10.187590711175616</v>
      </c>
      <c r="T37" s="12">
        <v>137089.89396738238</v>
      </c>
    </row>
    <row r="38" spans="1:20" x14ac:dyDescent="0.45">
      <c r="A38" s="11">
        <v>39083</v>
      </c>
      <c r="B38" s="1">
        <v>-1.204615722277675</v>
      </c>
      <c r="C38">
        <f>IF(B38&lt;2,0, 1)</f>
        <v>0</v>
      </c>
      <c r="D38">
        <v>8.9375</v>
      </c>
      <c r="E38" s="2">
        <v>224444460</v>
      </c>
      <c r="F38" s="17">
        <f t="shared" si="2"/>
        <v>1.7645912398369826E-2</v>
      </c>
      <c r="G38" s="18">
        <v>122.02719315673892</v>
      </c>
      <c r="H38" s="19">
        <f t="shared" si="3"/>
        <v>7.2172729183137871E-2</v>
      </c>
      <c r="I38" s="20">
        <v>7.6E-3</v>
      </c>
      <c r="J38" s="21">
        <v>163.08064185522554</v>
      </c>
      <c r="K38" s="21">
        <f t="shared" si="0"/>
        <v>41.461098029946271</v>
      </c>
      <c r="L38" s="5">
        <f t="shared" si="4"/>
        <v>45.491763342712233</v>
      </c>
      <c r="M38" s="10">
        <v>2.64330416328411E-2</v>
      </c>
      <c r="N38" s="10"/>
      <c r="O38" s="7">
        <v>168.94103436873669</v>
      </c>
      <c r="P38" s="13">
        <v>2951</v>
      </c>
      <c r="Q38" s="13">
        <v>19689</v>
      </c>
      <c r="R38" s="22">
        <f t="shared" si="5"/>
        <v>-2.224760391319458E-2</v>
      </c>
      <c r="S38" s="9">
        <f t="shared" si="1"/>
        <v>6.6719756014910203</v>
      </c>
      <c r="T38" s="12">
        <v>139734.39348423888</v>
      </c>
    </row>
    <row r="39" spans="1:20" x14ac:dyDescent="0.45">
      <c r="A39" s="11">
        <v>39114</v>
      </c>
      <c r="B39" s="1">
        <v>-1.3068041144190077</v>
      </c>
      <c r="C39">
        <f>IF(B39&lt;2,0, 1)</f>
        <v>0</v>
      </c>
      <c r="D39">
        <v>8</v>
      </c>
      <c r="E39" s="2">
        <v>226266280</v>
      </c>
      <c r="F39" s="17">
        <f t="shared" si="2"/>
        <v>8.1170192394145087E-3</v>
      </c>
      <c r="G39" s="18">
        <v>124.55059953035591</v>
      </c>
      <c r="H39" s="19">
        <f t="shared" si="3"/>
        <v>8.571515718789384E-2</v>
      </c>
      <c r="I39" s="20">
        <v>7.6E-3</v>
      </c>
      <c r="J39" s="21">
        <v>163.32701648416159</v>
      </c>
      <c r="K39" s="21">
        <f t="shared" si="0"/>
        <v>41.707472658882324</v>
      </c>
      <c r="L39" s="5">
        <f t="shared" si="4"/>
        <v>47.674700898334322</v>
      </c>
      <c r="M39" s="10">
        <v>2.64330416328411E-2</v>
      </c>
      <c r="N39" s="10"/>
      <c r="O39" s="7">
        <v>176.70178298887629</v>
      </c>
      <c r="P39" s="13">
        <v>2791</v>
      </c>
      <c r="Q39" s="13">
        <v>20532</v>
      </c>
      <c r="R39" s="22">
        <f t="shared" si="5"/>
        <v>-1.2504809542131623E-2</v>
      </c>
      <c r="S39" s="9">
        <f t="shared" si="1"/>
        <v>7.3565030455034037</v>
      </c>
      <c r="T39" s="12">
        <v>139734.39348423888</v>
      </c>
    </row>
    <row r="40" spans="1:20" x14ac:dyDescent="0.45">
      <c r="A40" s="11">
        <v>39142</v>
      </c>
      <c r="B40" s="1">
        <v>-0.6301880822026209</v>
      </c>
      <c r="C40">
        <f>IF(B40&lt;2,0, 1)</f>
        <v>0</v>
      </c>
      <c r="D40">
        <v>8.3125</v>
      </c>
      <c r="E40" s="2">
        <v>229729292</v>
      </c>
      <c r="F40" s="17">
        <f t="shared" si="2"/>
        <v>1.5305029101110427E-2</v>
      </c>
      <c r="G40" s="18">
        <v>126.40971444102949</v>
      </c>
      <c r="H40" s="19">
        <f t="shared" si="3"/>
        <v>0.10664226037236003</v>
      </c>
      <c r="I40" s="20">
        <v>7.6E-3</v>
      </c>
      <c r="J40" s="21">
        <v>164.40257695274013</v>
      </c>
      <c r="K40" s="21">
        <f t="shared" si="0"/>
        <v>42.783033127460868</v>
      </c>
      <c r="L40" s="5">
        <f t="shared" si="4"/>
        <v>45.169411126825452</v>
      </c>
      <c r="M40" s="10">
        <v>2.64330416328411E-2</v>
      </c>
      <c r="N40" s="10"/>
      <c r="O40" s="7">
        <v>182.65005598885591</v>
      </c>
      <c r="P40" s="13">
        <v>3422</v>
      </c>
      <c r="Q40" s="13">
        <v>21549</v>
      </c>
      <c r="R40" s="22">
        <f t="shared" si="5"/>
        <v>5.9491617090319027E-2</v>
      </c>
      <c r="S40" s="9">
        <f t="shared" si="1"/>
        <v>6.2971946230274689</v>
      </c>
      <c r="T40" s="12">
        <v>139734.39348423888</v>
      </c>
    </row>
    <row r="41" spans="1:20" x14ac:dyDescent="0.45">
      <c r="A41" s="11">
        <v>39173</v>
      </c>
      <c r="B41" s="1">
        <v>-1.3128083749464561</v>
      </c>
      <c r="C41">
        <f>IF(B41&lt;2,0, 1)</f>
        <v>0</v>
      </c>
      <c r="D41">
        <v>7.6875</v>
      </c>
      <c r="E41" s="2">
        <v>233837891</v>
      </c>
      <c r="F41" s="17">
        <f t="shared" si="2"/>
        <v>1.7884523842088017E-2</v>
      </c>
      <c r="G41" s="18">
        <v>125.32458573152662</v>
      </c>
      <c r="H41" s="19">
        <f t="shared" si="3"/>
        <v>8.2134651001917136E-2</v>
      </c>
      <c r="I41" s="20">
        <v>7.6E-3</v>
      </c>
      <c r="J41" s="21">
        <v>162.91903393678788</v>
      </c>
      <c r="K41" s="21">
        <f t="shared" si="0"/>
        <v>41.299490111508618</v>
      </c>
      <c r="L41" s="5">
        <f t="shared" si="4"/>
        <v>46.657377803021802</v>
      </c>
      <c r="M41" s="10">
        <v>2.5263153782472202E-2</v>
      </c>
      <c r="N41" s="10"/>
      <c r="O41" s="7">
        <v>185.04669962954981</v>
      </c>
      <c r="P41" s="13">
        <v>3061</v>
      </c>
      <c r="Q41" s="13">
        <v>22400</v>
      </c>
      <c r="R41" s="22">
        <f t="shared" si="5"/>
        <v>7.1565250669728186E-2</v>
      </c>
      <c r="S41" s="9">
        <f t="shared" si="1"/>
        <v>7.3178699771316564</v>
      </c>
      <c r="T41" s="12">
        <v>147362.02622404959</v>
      </c>
    </row>
    <row r="42" spans="1:20" x14ac:dyDescent="0.45">
      <c r="A42" s="11">
        <v>39203</v>
      </c>
      <c r="B42" s="1">
        <v>-0.83478639610577721</v>
      </c>
      <c r="C42">
        <f>IF(B42&lt;2,0, 1)</f>
        <v>0</v>
      </c>
      <c r="D42">
        <v>7.75</v>
      </c>
      <c r="E42" s="2">
        <v>237686180</v>
      </c>
      <c r="F42" s="17">
        <f t="shared" si="2"/>
        <v>1.6457080516519028E-2</v>
      </c>
      <c r="G42" s="18">
        <v>127.40572334572289</v>
      </c>
      <c r="H42" s="19">
        <f t="shared" si="3"/>
        <v>0.10612207467829385</v>
      </c>
      <c r="I42" s="20">
        <v>7.6E-3</v>
      </c>
      <c r="J42" s="21">
        <v>162.15530398070342</v>
      </c>
      <c r="K42" s="21">
        <f t="shared" si="0"/>
        <v>40.535760155424157</v>
      </c>
      <c r="L42" s="5">
        <f t="shared" si="4"/>
        <v>42.456632103110053</v>
      </c>
      <c r="M42" s="10">
        <v>2.5263153782472202E-2</v>
      </c>
      <c r="N42" s="10"/>
      <c r="O42" s="7">
        <v>191.22829392816371</v>
      </c>
      <c r="P42" s="13">
        <v>3542</v>
      </c>
      <c r="Q42" s="13">
        <v>24162</v>
      </c>
      <c r="R42" s="22">
        <f t="shared" si="5"/>
        <v>9.3154775369859388E-2</v>
      </c>
      <c r="S42" s="9">
        <f t="shared" si="1"/>
        <v>6.8215697346132131</v>
      </c>
      <c r="T42" s="12">
        <v>147362.02622404959</v>
      </c>
    </row>
    <row r="43" spans="1:20" x14ac:dyDescent="0.45">
      <c r="A43" s="11">
        <v>39234</v>
      </c>
      <c r="B43" s="1">
        <v>-0.59456733798205086</v>
      </c>
      <c r="C43">
        <f>IF(B43&lt;2,0, 1)</f>
        <v>0</v>
      </c>
      <c r="D43">
        <v>8.1875</v>
      </c>
      <c r="E43" s="2">
        <v>243395457</v>
      </c>
      <c r="F43" s="17">
        <f t="shared" si="2"/>
        <v>2.4020231214116023E-2</v>
      </c>
      <c r="G43" s="18">
        <v>128.43593950770014</v>
      </c>
      <c r="H43" s="19">
        <f t="shared" si="3"/>
        <v>0.10479118328415753</v>
      </c>
      <c r="I43" s="20">
        <v>7.6E-3</v>
      </c>
      <c r="J43" s="21">
        <v>159.32001299712007</v>
      </c>
      <c r="K43" s="21">
        <f t="shared" si="0"/>
        <v>37.700469171840808</v>
      </c>
      <c r="L43" s="5">
        <f t="shared" si="4"/>
        <v>45.391843359721207</v>
      </c>
      <c r="M43" s="10">
        <v>2.5263153782472202E-2</v>
      </c>
      <c r="N43" s="10"/>
      <c r="O43" s="7">
        <v>202.77366270495699</v>
      </c>
      <c r="P43" s="13">
        <v>3579</v>
      </c>
      <c r="Q43" s="13">
        <v>25490</v>
      </c>
      <c r="R43" s="22">
        <f t="shared" si="5"/>
        <v>0.10576088842616693</v>
      </c>
      <c r="S43" s="9">
        <f t="shared" si="1"/>
        <v>7.1221011455713885</v>
      </c>
      <c r="T43" s="12">
        <v>147362.02622404959</v>
      </c>
    </row>
    <row r="44" spans="1:20" x14ac:dyDescent="0.45">
      <c r="A44" s="11">
        <v>39264</v>
      </c>
      <c r="B44" s="1">
        <v>1.1733962691119981</v>
      </c>
      <c r="C44">
        <f>IF(B44&lt;2,0, 1)</f>
        <v>0</v>
      </c>
      <c r="D44">
        <v>9.9375</v>
      </c>
      <c r="E44" s="2">
        <v>248444366</v>
      </c>
      <c r="F44" s="17">
        <f t="shared" si="2"/>
        <v>2.0743645186442408E-2</v>
      </c>
      <c r="G44" s="18">
        <v>127.80474119749024</v>
      </c>
      <c r="H44" s="19">
        <f t="shared" si="3"/>
        <v>8.1891247916671142E-2</v>
      </c>
      <c r="I44" s="20">
        <v>7.6E-3</v>
      </c>
      <c r="J44" s="21">
        <v>159.67922911749207</v>
      </c>
      <c r="K44" s="21">
        <f t="shared" si="0"/>
        <v>38.059685292212805</v>
      </c>
      <c r="L44" s="5">
        <f t="shared" si="4"/>
        <v>43.916137533774588</v>
      </c>
      <c r="M44" s="10">
        <v>2.0385416651010201E-2</v>
      </c>
      <c r="N44" s="10"/>
      <c r="O44" s="7">
        <v>205.8092648634711</v>
      </c>
      <c r="P44" s="13">
        <v>4126</v>
      </c>
      <c r="Q44" s="13">
        <v>26223</v>
      </c>
      <c r="R44" s="22">
        <f t="shared" si="5"/>
        <v>4.4532961561442042E-2</v>
      </c>
      <c r="S44" s="9">
        <f t="shared" si="1"/>
        <v>6.3555501696558414</v>
      </c>
      <c r="T44" s="12">
        <v>149670.47161912816</v>
      </c>
    </row>
    <row r="45" spans="1:20" x14ac:dyDescent="0.45">
      <c r="A45" s="11">
        <v>39295</v>
      </c>
      <c r="B45" s="1">
        <v>1.6413679555001426</v>
      </c>
      <c r="C45">
        <f>IF(B45&lt;2,0, 1)</f>
        <v>0</v>
      </c>
      <c r="D45">
        <v>11.5</v>
      </c>
      <c r="E45" s="2">
        <v>252306112</v>
      </c>
      <c r="F45" s="17">
        <f t="shared" si="2"/>
        <v>1.5543705265588514E-2</v>
      </c>
      <c r="G45" s="18">
        <v>128.72257468314845</v>
      </c>
      <c r="H45" s="19">
        <f t="shared" si="3"/>
        <v>8.2898343803694693E-2</v>
      </c>
      <c r="I45" s="20">
        <v>7.6E-3</v>
      </c>
      <c r="J45" s="21">
        <v>154.49693699564656</v>
      </c>
      <c r="K45" s="21">
        <f t="shared" si="0"/>
        <v>32.877393170367299</v>
      </c>
      <c r="L45" s="5">
        <f t="shared" si="4"/>
        <v>45.729027277975376</v>
      </c>
      <c r="M45" s="10">
        <v>2.0385416651010201E-2</v>
      </c>
      <c r="N45" s="10"/>
      <c r="O45" s="7">
        <v>206.35058629529399</v>
      </c>
      <c r="P45" s="13">
        <v>4606</v>
      </c>
      <c r="Q45" s="13">
        <v>27397</v>
      </c>
      <c r="R45" s="22">
        <f t="shared" si="5"/>
        <v>8.4943766830350098E-2</v>
      </c>
      <c r="S45" s="9">
        <f t="shared" si="1"/>
        <v>5.9481111593573601</v>
      </c>
      <c r="T45" s="12">
        <v>149670.47161912816</v>
      </c>
    </row>
    <row r="46" spans="1:20" x14ac:dyDescent="0.45">
      <c r="A46" s="11">
        <v>39326</v>
      </c>
      <c r="B46" s="1">
        <v>0.17684248144587247</v>
      </c>
      <c r="C46">
        <f>IF(B46&lt;2,0, 1)</f>
        <v>0</v>
      </c>
      <c r="D46">
        <v>11.75</v>
      </c>
      <c r="E46" s="2">
        <v>253965537</v>
      </c>
      <c r="F46" s="17">
        <f t="shared" si="2"/>
        <v>6.5770305239375255E-3</v>
      </c>
      <c r="G46" s="18">
        <v>129.68722290671079</v>
      </c>
      <c r="H46" s="19">
        <f t="shared" si="3"/>
        <v>8.2094673351398362E-2</v>
      </c>
      <c r="I46" s="20">
        <v>7.6E-3</v>
      </c>
      <c r="J46" s="21">
        <v>157.32929619486654</v>
      </c>
      <c r="K46" s="21">
        <f t="shared" si="0"/>
        <v>35.709752369587278</v>
      </c>
      <c r="L46" s="5">
        <f t="shared" si="4"/>
        <v>43.513366608480453</v>
      </c>
      <c r="M46" s="10">
        <v>2.0385416651010201E-2</v>
      </c>
      <c r="N46" s="10"/>
      <c r="O46" s="7">
        <v>222.2199891247827</v>
      </c>
      <c r="P46" s="13">
        <v>3963</v>
      </c>
      <c r="Q46" s="13">
        <v>28048</v>
      </c>
      <c r="R46" s="22">
        <f t="shared" si="5"/>
        <v>9.5026157570078817E-2</v>
      </c>
      <c r="S46" s="9">
        <f t="shared" si="1"/>
        <v>7.0774665657330305</v>
      </c>
      <c r="T46" s="12">
        <v>149670.47161912816</v>
      </c>
    </row>
    <row r="47" spans="1:20" x14ac:dyDescent="0.45">
      <c r="A47" s="11">
        <v>39356</v>
      </c>
      <c r="B47" s="1">
        <v>0.84574265876324273</v>
      </c>
      <c r="C47">
        <f>IF(B47&lt;2,0, 1)</f>
        <v>0</v>
      </c>
      <c r="D47">
        <v>13.375</v>
      </c>
      <c r="E47" s="2">
        <v>254456229</v>
      </c>
      <c r="F47" s="17">
        <f t="shared" si="2"/>
        <v>1.93212041994501E-3</v>
      </c>
      <c r="G47" s="18">
        <v>131.28371175688568</v>
      </c>
      <c r="H47" s="19">
        <f t="shared" si="3"/>
        <v>8.8967823047881076E-2</v>
      </c>
      <c r="I47" s="20">
        <v>7.6E-3</v>
      </c>
      <c r="J47" s="21">
        <v>159.43797619872936</v>
      </c>
      <c r="K47" s="21">
        <f t="shared" si="0"/>
        <v>37.818432373450094</v>
      </c>
      <c r="L47" s="5">
        <f t="shared" si="4"/>
        <v>42.981594862411868</v>
      </c>
      <c r="M47" s="10">
        <v>2.0246775587698902E-2</v>
      </c>
      <c r="N47" s="10">
        <f>M35</f>
        <v>2.73761950777008E-2</v>
      </c>
      <c r="O47" s="7">
        <v>227.96581723175601</v>
      </c>
      <c r="P47" s="13">
        <v>4400</v>
      </c>
      <c r="Q47" s="13">
        <v>29082</v>
      </c>
      <c r="R47" s="22">
        <f t="shared" si="5"/>
        <v>9.5449751393702043E-2</v>
      </c>
      <c r="S47" s="9">
        <f t="shared" si="1"/>
        <v>6.6095454545454544</v>
      </c>
      <c r="T47" s="12">
        <v>153400.45476638654</v>
      </c>
    </row>
    <row r="48" spans="1:20" x14ac:dyDescent="0.45">
      <c r="A48" s="11">
        <v>39387</v>
      </c>
      <c r="B48" s="1">
        <v>-0.54890135257438855</v>
      </c>
      <c r="C48">
        <f>IF(B48&lt;2,0, 1)</f>
        <v>0</v>
      </c>
      <c r="D48">
        <v>13.8125</v>
      </c>
      <c r="E48" s="2">
        <v>259568369</v>
      </c>
      <c r="F48" s="17">
        <f t="shared" si="2"/>
        <v>2.0090449426569158E-2</v>
      </c>
      <c r="G48" s="18">
        <v>132.60486183759679</v>
      </c>
      <c r="H48" s="19">
        <f t="shared" si="3"/>
        <v>9.9326218743690506E-2</v>
      </c>
      <c r="I48" s="20">
        <v>7.6E-3</v>
      </c>
      <c r="J48" s="21">
        <v>159.41293831264488</v>
      </c>
      <c r="K48" s="21">
        <f t="shared" si="0"/>
        <v>37.793394487365617</v>
      </c>
      <c r="L48" s="5">
        <f t="shared" si="4"/>
        <v>41.781620530160978</v>
      </c>
      <c r="M48" s="10">
        <v>2.0246775587698902E-2</v>
      </c>
      <c r="N48" s="10">
        <f t="shared" ref="N48:N111" si="6">M36</f>
        <v>2.73761950777008E-2</v>
      </c>
      <c r="O48" s="7">
        <v>245.3020829061085</v>
      </c>
      <c r="P48" s="13">
        <v>4384</v>
      </c>
      <c r="Q48" s="13">
        <v>30328</v>
      </c>
      <c r="R48" s="22">
        <f t="shared" si="5"/>
        <v>0.14337417530631469</v>
      </c>
      <c r="S48" s="9">
        <f t="shared" si="1"/>
        <v>6.9178832116788325</v>
      </c>
      <c r="T48" s="12">
        <v>153400.45476638654</v>
      </c>
    </row>
    <row r="49" spans="1:20" x14ac:dyDescent="0.45">
      <c r="A49" s="11">
        <v>39417</v>
      </c>
      <c r="B49" s="1">
        <v>-0.49564807649563342</v>
      </c>
      <c r="C49">
        <f>IF(B49&lt;2,0, 1)</f>
        <v>0</v>
      </c>
      <c r="D49">
        <v>13.625</v>
      </c>
      <c r="E49" s="2">
        <v>267815437</v>
      </c>
      <c r="F49" s="17">
        <f t="shared" si="2"/>
        <v>3.1772238011018979E-2</v>
      </c>
      <c r="G49" s="18">
        <v>134.20453371780914</v>
      </c>
      <c r="H49" s="19">
        <f t="shared" si="3"/>
        <v>8.8465947642932072E-2</v>
      </c>
      <c r="I49" s="20">
        <v>7.6E-3</v>
      </c>
      <c r="J49" s="21">
        <v>159.57013951265162</v>
      </c>
      <c r="K49" s="21">
        <f t="shared" si="0"/>
        <v>37.950595687372356</v>
      </c>
      <c r="L49" s="5">
        <f t="shared" si="4"/>
        <v>41.130240062407125</v>
      </c>
      <c r="M49" s="10">
        <v>2.0246775587698902E-2</v>
      </c>
      <c r="N49" s="10">
        <f t="shared" si="6"/>
        <v>2.73761950777008E-2</v>
      </c>
      <c r="O49" s="7">
        <v>258.86662564083099</v>
      </c>
      <c r="P49" s="13">
        <v>3881</v>
      </c>
      <c r="Q49" s="13">
        <v>32037</v>
      </c>
      <c r="R49" s="22">
        <f t="shared" si="5"/>
        <v>0.14104070947750835</v>
      </c>
      <c r="S49" s="9">
        <f t="shared" si="1"/>
        <v>8.2548312290646741</v>
      </c>
      <c r="T49" s="12">
        <v>153400.45476638654</v>
      </c>
    </row>
    <row r="50" spans="1:20" x14ac:dyDescent="0.45">
      <c r="A50" s="11">
        <v>39448</v>
      </c>
      <c r="B50" s="1">
        <v>-2.747693231384063</v>
      </c>
      <c r="C50">
        <f>IF(B50&lt;2,0, 1)</f>
        <v>0</v>
      </c>
      <c r="D50">
        <v>8.75</v>
      </c>
      <c r="E50" s="2">
        <v>276638851</v>
      </c>
      <c r="F50" s="17">
        <f t="shared" si="2"/>
        <v>3.2945875334288513E-2</v>
      </c>
      <c r="G50" s="18">
        <v>135.23317286079993</v>
      </c>
      <c r="H50" s="19">
        <f t="shared" si="3"/>
        <v>0.10822161325220739</v>
      </c>
      <c r="I50" s="20">
        <v>3.5000000000000001E-3</v>
      </c>
      <c r="J50" s="21">
        <v>159.85205582420721</v>
      </c>
      <c r="K50" s="21">
        <f t="shared" si="0"/>
        <v>38.232511998927947</v>
      </c>
      <c r="L50" s="5">
        <f t="shared" si="4"/>
        <v>41.461098029946271</v>
      </c>
      <c r="M50" s="10">
        <v>2.1951603923301598E-2</v>
      </c>
      <c r="N50" s="10">
        <f t="shared" si="6"/>
        <v>2.64330416328411E-2</v>
      </c>
      <c r="O50" s="7">
        <v>278.0924282535579</v>
      </c>
      <c r="P50" s="13">
        <v>4479</v>
      </c>
      <c r="Q50" s="13">
        <v>33739</v>
      </c>
      <c r="R50" s="22">
        <f t="shared" si="5"/>
        <v>0.71359642439941084</v>
      </c>
      <c r="S50" s="9">
        <f t="shared" si="1"/>
        <v>7.5327081937932574</v>
      </c>
      <c r="T50" s="12">
        <v>158391.88192790962</v>
      </c>
    </row>
    <row r="51" spans="1:20" x14ac:dyDescent="0.45">
      <c r="A51" s="11">
        <v>39479</v>
      </c>
      <c r="B51" s="1">
        <v>-0.44864851739903983</v>
      </c>
      <c r="C51">
        <f>IF(B51&lt;2,0, 1)</f>
        <v>0</v>
      </c>
      <c r="D51">
        <v>8.875</v>
      </c>
      <c r="E51" s="2">
        <v>277822292</v>
      </c>
      <c r="F51" s="17">
        <f t="shared" si="2"/>
        <v>4.2779276870261434E-3</v>
      </c>
      <c r="G51" s="18">
        <v>133.4073825257006</v>
      </c>
      <c r="H51" s="19">
        <f t="shared" si="3"/>
        <v>7.1109918609312525E-2</v>
      </c>
      <c r="I51" s="20">
        <v>3.5000000000000001E-3</v>
      </c>
      <c r="J51" s="21">
        <v>161.6735787706788</v>
      </c>
      <c r="K51" s="21">
        <f t="shared" si="0"/>
        <v>40.054034945399536</v>
      </c>
      <c r="L51" s="5">
        <f t="shared" si="4"/>
        <v>41.707472658882324</v>
      </c>
      <c r="M51" s="10">
        <v>2.1951603923301598E-2</v>
      </c>
      <c r="N51" s="10">
        <f t="shared" si="6"/>
        <v>2.64330416328411E-2</v>
      </c>
      <c r="O51" s="7">
        <v>294.07576707078232</v>
      </c>
      <c r="P51" s="13">
        <v>4210</v>
      </c>
      <c r="Q51" s="13">
        <v>34936</v>
      </c>
      <c r="R51" s="22">
        <f t="shared" si="5"/>
        <v>0.70153906097798568</v>
      </c>
      <c r="S51" s="9">
        <f t="shared" si="1"/>
        <v>8.2983372921615199</v>
      </c>
      <c r="T51" s="12">
        <v>158391.88192790962</v>
      </c>
    </row>
    <row r="52" spans="1:20" x14ac:dyDescent="0.45">
      <c r="A52" s="11">
        <v>39508</v>
      </c>
      <c r="B52" s="1">
        <v>-0.73630626040061986</v>
      </c>
      <c r="C52">
        <f>IF(B52&lt;2,0, 1)</f>
        <v>0</v>
      </c>
      <c r="D52">
        <v>8.3125</v>
      </c>
      <c r="E52" s="2">
        <v>280921249</v>
      </c>
      <c r="F52" s="17">
        <f t="shared" si="2"/>
        <v>1.1154457684770667E-2</v>
      </c>
      <c r="G52" s="18">
        <v>133.14405886744453</v>
      </c>
      <c r="H52" s="19">
        <f t="shared" si="3"/>
        <v>5.3273946992077312E-2</v>
      </c>
      <c r="I52" s="20">
        <v>3.5000000000000001E-3</v>
      </c>
      <c r="J52" s="21">
        <v>156.56262072230572</v>
      </c>
      <c r="K52" s="21">
        <f t="shared" si="0"/>
        <v>34.943076897026458</v>
      </c>
      <c r="L52" s="5">
        <f t="shared" si="4"/>
        <v>42.783033127460868</v>
      </c>
      <c r="M52" s="10">
        <v>2.1951603923301598E-2</v>
      </c>
      <c r="N52" s="10">
        <f t="shared" si="6"/>
        <v>2.64330416328411E-2</v>
      </c>
      <c r="O52" s="7">
        <v>289.93088767412468</v>
      </c>
      <c r="P52" s="13">
        <v>4163</v>
      </c>
      <c r="Q52" s="13">
        <v>36849</v>
      </c>
      <c r="R52" s="22">
        <f t="shared" si="5"/>
        <v>0.71000974523179727</v>
      </c>
      <c r="S52" s="9">
        <f t="shared" si="1"/>
        <v>8.8515493634398279</v>
      </c>
      <c r="T52" s="12">
        <v>158391.88192790962</v>
      </c>
    </row>
    <row r="53" spans="1:20" x14ac:dyDescent="0.45">
      <c r="A53" s="11">
        <v>39539</v>
      </c>
      <c r="B53" s="1">
        <v>1.1152444278419029</v>
      </c>
      <c r="C53">
        <f>IF(B53&lt;2,0, 1)</f>
        <v>0</v>
      </c>
      <c r="D53">
        <v>9.75</v>
      </c>
      <c r="E53" s="2">
        <v>285593333</v>
      </c>
      <c r="F53" s="17">
        <f t="shared" si="2"/>
        <v>1.6631294416607125E-2</v>
      </c>
      <c r="G53" s="18">
        <v>135.89616303546967</v>
      </c>
      <c r="H53" s="19">
        <f t="shared" si="3"/>
        <v>8.4353578687183808E-2</v>
      </c>
      <c r="I53" s="20">
        <v>3.5000000000000001E-3</v>
      </c>
      <c r="J53" s="21">
        <v>153.16965458197171</v>
      </c>
      <c r="K53" s="21">
        <f t="shared" si="0"/>
        <v>31.550110756692447</v>
      </c>
      <c r="L53" s="5">
        <f t="shared" si="4"/>
        <v>41.299490111508618</v>
      </c>
      <c r="M53" s="10">
        <v>1.4803261157600601E-2</v>
      </c>
      <c r="N53" s="10">
        <f t="shared" si="6"/>
        <v>2.5263153782472202E-2</v>
      </c>
      <c r="O53" s="7">
        <v>286.72245562591979</v>
      </c>
      <c r="P53" s="13">
        <v>4930</v>
      </c>
      <c r="Q53" s="13">
        <v>38606</v>
      </c>
      <c r="R53" s="22">
        <f t="shared" si="5"/>
        <v>0.72348214285714296</v>
      </c>
      <c r="S53" s="9">
        <f t="shared" si="1"/>
        <v>7.8308316430020284</v>
      </c>
      <c r="T53" s="12">
        <v>162093.25060329176</v>
      </c>
    </row>
    <row r="54" spans="1:20" x14ac:dyDescent="0.45">
      <c r="A54" s="11">
        <v>39569</v>
      </c>
      <c r="B54" s="1">
        <v>4.8804079888525846</v>
      </c>
      <c r="C54">
        <f>IF(B54&lt;2,0, 1)</f>
        <v>1</v>
      </c>
      <c r="D54">
        <v>16.9375</v>
      </c>
      <c r="E54" s="2">
        <v>282666253</v>
      </c>
      <c r="F54" s="17">
        <f t="shared" si="2"/>
        <v>-1.0249118805585003E-2</v>
      </c>
      <c r="G54" s="18">
        <v>134.91841568447717</v>
      </c>
      <c r="H54" s="19">
        <f t="shared" si="3"/>
        <v>5.896667858764984E-2</v>
      </c>
      <c r="I54" s="20">
        <v>3.5000000000000001E-3</v>
      </c>
      <c r="J54" s="21">
        <v>152.4267217990014</v>
      </c>
      <c r="K54" s="21">
        <f t="shared" si="0"/>
        <v>30.807177973722133</v>
      </c>
      <c r="L54" s="5">
        <f t="shared" si="4"/>
        <v>40.535760155424157</v>
      </c>
      <c r="M54" s="10">
        <v>1.4803261157600601E-2</v>
      </c>
      <c r="N54" s="10">
        <f t="shared" si="6"/>
        <v>2.5263153782472202E-2</v>
      </c>
      <c r="O54" s="7">
        <v>290.85001036557941</v>
      </c>
      <c r="P54" s="13">
        <v>5200</v>
      </c>
      <c r="Q54" s="13">
        <v>40581</v>
      </c>
      <c r="R54" s="22">
        <f t="shared" si="5"/>
        <v>0.679538117705488</v>
      </c>
      <c r="S54" s="9">
        <f t="shared" si="1"/>
        <v>7.8040384615384619</v>
      </c>
      <c r="T54" s="12">
        <v>162093.25060329176</v>
      </c>
    </row>
    <row r="55" spans="1:20" x14ac:dyDescent="0.45">
      <c r="A55" s="11">
        <v>39600</v>
      </c>
      <c r="B55" s="1">
        <v>-0.41718561326785569</v>
      </c>
      <c r="C55">
        <f>IF(B55&lt;2,0, 1)</f>
        <v>0</v>
      </c>
      <c r="D55">
        <v>16.25</v>
      </c>
      <c r="E55" s="2">
        <v>286774553</v>
      </c>
      <c r="F55" s="17">
        <f t="shared" si="2"/>
        <v>1.4534101458514045E-2</v>
      </c>
      <c r="G55" s="18">
        <v>133.19548743807167</v>
      </c>
      <c r="H55" s="19">
        <f t="shared" si="3"/>
        <v>3.7057757732104069E-2</v>
      </c>
      <c r="I55" s="20">
        <v>3.5000000000000001E-3</v>
      </c>
      <c r="J55" s="21">
        <v>147.06455794692141</v>
      </c>
      <c r="K55" s="21">
        <f t="shared" si="0"/>
        <v>25.445014121642146</v>
      </c>
      <c r="L55" s="5">
        <f t="shared" si="4"/>
        <v>37.700469171840808</v>
      </c>
      <c r="M55" s="10">
        <v>1.4803261157600601E-2</v>
      </c>
      <c r="N55" s="10">
        <f t="shared" si="6"/>
        <v>2.5263153782472202E-2</v>
      </c>
      <c r="O55" s="7">
        <v>319.15626696640931</v>
      </c>
      <c r="P55" s="13">
        <v>5196</v>
      </c>
      <c r="Q55" s="13">
        <v>43157</v>
      </c>
      <c r="R55" s="22">
        <f t="shared" si="5"/>
        <v>0.69309533150255009</v>
      </c>
      <c r="S55" s="9">
        <f t="shared" si="1"/>
        <v>8.3058121632024626</v>
      </c>
      <c r="T55" s="12">
        <v>162093.25060329176</v>
      </c>
    </row>
    <row r="56" spans="1:20" x14ac:dyDescent="0.45">
      <c r="A56" s="11">
        <v>39630</v>
      </c>
      <c r="B56" s="1">
        <v>-1.3496119275497502</v>
      </c>
      <c r="C56">
        <f>IF(B56&lt;2,0, 1)</f>
        <v>0</v>
      </c>
      <c r="D56">
        <v>12.6875</v>
      </c>
      <c r="E56" s="2">
        <v>292218434</v>
      </c>
      <c r="F56" s="17">
        <f t="shared" si="2"/>
        <v>1.8983138298187846E-2</v>
      </c>
      <c r="G56" s="18">
        <v>135.37784027903882</v>
      </c>
      <c r="H56" s="19">
        <f t="shared" si="3"/>
        <v>5.9255228018859234E-2</v>
      </c>
      <c r="I56" s="20">
        <v>3.5000000000000001E-3</v>
      </c>
      <c r="J56" s="21">
        <v>147.92736168743809</v>
      </c>
      <c r="K56" s="21">
        <f t="shared" si="0"/>
        <v>26.307817862158828</v>
      </c>
      <c r="L56" s="5">
        <f t="shared" si="4"/>
        <v>38.059685292212805</v>
      </c>
      <c r="M56" s="10">
        <v>1.45557475554707E-2</v>
      </c>
      <c r="N56" s="10">
        <f t="shared" si="6"/>
        <v>2.0385416651010201E-2</v>
      </c>
      <c r="O56" s="7">
        <v>324.40099016927059</v>
      </c>
      <c r="P56" s="13">
        <v>6047</v>
      </c>
      <c r="Q56" s="13">
        <v>44202</v>
      </c>
      <c r="R56" s="22">
        <f t="shared" si="5"/>
        <v>0.6856194943370324</v>
      </c>
      <c r="S56" s="9">
        <f t="shared" si="1"/>
        <v>7.3097403671241938</v>
      </c>
      <c r="T56" s="12">
        <v>158342.60486301983</v>
      </c>
    </row>
    <row r="57" spans="1:20" x14ac:dyDescent="0.45">
      <c r="A57" s="11">
        <v>39661</v>
      </c>
      <c r="B57" s="1">
        <v>-9.874188350790053E-2</v>
      </c>
      <c r="C57">
        <f>IF(B57&lt;2,0, 1)</f>
        <v>0</v>
      </c>
      <c r="D57">
        <v>12.1875</v>
      </c>
      <c r="E57" s="2">
        <v>296302547</v>
      </c>
      <c r="F57" s="17">
        <f t="shared" si="2"/>
        <v>1.3976233272128205E-2</v>
      </c>
      <c r="G57" s="18">
        <v>135.61225039852667</v>
      </c>
      <c r="H57" s="19">
        <f t="shared" si="3"/>
        <v>5.3523445536551799E-2</v>
      </c>
      <c r="I57" s="20">
        <v>3.5000000000000001E-3</v>
      </c>
      <c r="J57" s="21">
        <v>141.64158360410332</v>
      </c>
      <c r="K57" s="21">
        <f t="shared" si="0"/>
        <v>20.022039778824052</v>
      </c>
      <c r="L57" s="5">
        <f t="shared" si="4"/>
        <v>32.877393170367299</v>
      </c>
      <c r="M57" s="10">
        <v>1.45557475554707E-2</v>
      </c>
      <c r="N57" s="10">
        <f t="shared" si="6"/>
        <v>2.0385416651010201E-2</v>
      </c>
      <c r="O57" s="7">
        <v>278.59904228172007</v>
      </c>
      <c r="P57" s="13">
        <v>5159</v>
      </c>
      <c r="Q57" s="13">
        <v>43160</v>
      </c>
      <c r="R57" s="22">
        <f t="shared" si="5"/>
        <v>0.57535496587217572</v>
      </c>
      <c r="S57" s="9">
        <f t="shared" si="1"/>
        <v>8.3659623958131419</v>
      </c>
      <c r="T57" s="12">
        <v>158342.60486301983</v>
      </c>
    </row>
    <row r="58" spans="1:20" x14ac:dyDescent="0.45">
      <c r="A58" s="11">
        <v>39692</v>
      </c>
      <c r="B58" s="1">
        <v>0.84118282536217881</v>
      </c>
      <c r="C58">
        <f>IF(B58&lt;2,0, 1)</f>
        <v>0</v>
      </c>
      <c r="D58">
        <v>12.5625</v>
      </c>
      <c r="E58" s="2">
        <v>300337555</v>
      </c>
      <c r="F58" s="17">
        <f t="shared" si="2"/>
        <v>1.3617864715823722E-2</v>
      </c>
      <c r="G58" s="18">
        <v>136.02546988116876</v>
      </c>
      <c r="H58" s="19">
        <f t="shared" si="3"/>
        <v>4.8873334106454946E-2</v>
      </c>
      <c r="I58" s="20">
        <v>3.5000000000000001E-3</v>
      </c>
      <c r="J58" s="21">
        <v>134.44396903929808</v>
      </c>
      <c r="K58" s="21">
        <f t="shared" si="0"/>
        <v>12.824425214018817</v>
      </c>
      <c r="L58" s="5">
        <f t="shared" si="4"/>
        <v>35.709752369587278</v>
      </c>
      <c r="M58" s="10">
        <v>1.45557475554707E-2</v>
      </c>
      <c r="N58" s="10">
        <f t="shared" si="6"/>
        <v>2.0385416651010201E-2</v>
      </c>
      <c r="O58" s="7">
        <v>257.90004892152518</v>
      </c>
      <c r="P58" s="13">
        <v>5311</v>
      </c>
      <c r="Q58" s="13">
        <v>42891</v>
      </c>
      <c r="R58" s="22">
        <f t="shared" si="5"/>
        <v>0.52919994295493433</v>
      </c>
      <c r="S58" s="9">
        <f t="shared" si="1"/>
        <v>8.0758802485407646</v>
      </c>
      <c r="T58" s="12">
        <v>158342.60486301983</v>
      </c>
    </row>
    <row r="59" spans="1:20" x14ac:dyDescent="0.45">
      <c r="A59" s="11">
        <v>39722</v>
      </c>
      <c r="B59" s="1">
        <v>7.6544853279307805</v>
      </c>
      <c r="C59">
        <f>IF(B59&lt;2,0, 1)</f>
        <v>1</v>
      </c>
      <c r="D59">
        <v>23</v>
      </c>
      <c r="E59" s="2">
        <v>298348234</v>
      </c>
      <c r="F59" s="17">
        <f t="shared" si="2"/>
        <v>-6.6236172163018376E-3</v>
      </c>
      <c r="G59" s="18">
        <v>132.48246872994631</v>
      </c>
      <c r="H59" s="19">
        <f t="shared" si="3"/>
        <v>9.1310411399741064E-3</v>
      </c>
      <c r="I59" s="20">
        <v>3.5000000000000001E-3</v>
      </c>
      <c r="J59" s="21">
        <v>132.8982233391354</v>
      </c>
      <c r="K59" s="21">
        <f t="shared" si="0"/>
        <v>11.278679513856133</v>
      </c>
      <c r="L59" s="5">
        <f t="shared" si="4"/>
        <v>37.818432373450094</v>
      </c>
      <c r="M59" s="10">
        <v>2.6535670972512301E-2</v>
      </c>
      <c r="N59" s="10">
        <f t="shared" si="6"/>
        <v>2.0246775587698902E-2</v>
      </c>
      <c r="O59" s="7">
        <v>201.34288862324419</v>
      </c>
      <c r="P59" s="13">
        <v>5129</v>
      </c>
      <c r="Q59" s="13">
        <v>43000</v>
      </c>
      <c r="R59" s="22">
        <f t="shared" si="5"/>
        <v>0.47857781445567715</v>
      </c>
      <c r="S59" s="9">
        <f t="shared" si="1"/>
        <v>8.383700526418405</v>
      </c>
      <c r="T59" s="12">
        <v>154090.86221256774</v>
      </c>
    </row>
    <row r="60" spans="1:20" x14ac:dyDescent="0.45">
      <c r="A60" s="11">
        <v>39753</v>
      </c>
      <c r="B60" s="1">
        <v>-1.6654439145458539</v>
      </c>
      <c r="C60">
        <f>IF(B60&lt;2,0, 1)</f>
        <v>0</v>
      </c>
      <c r="D60">
        <v>18.6875</v>
      </c>
      <c r="E60" s="2">
        <v>301385594</v>
      </c>
      <c r="F60" s="17">
        <f t="shared" si="2"/>
        <v>1.0180586488740536E-2</v>
      </c>
      <c r="G60" s="18">
        <v>130.36633119254967</v>
      </c>
      <c r="H60" s="19">
        <f t="shared" si="3"/>
        <v>-1.6881210945256919E-2</v>
      </c>
      <c r="I60" s="20">
        <v>3.5000000000000001E-3</v>
      </c>
      <c r="J60" s="21">
        <v>127.16322900801474</v>
      </c>
      <c r="K60" s="21">
        <f t="shared" si="0"/>
        <v>5.5436851827354729</v>
      </c>
      <c r="L60" s="5">
        <f t="shared" si="4"/>
        <v>37.793394487365617</v>
      </c>
      <c r="M60" s="10">
        <v>2.6535670972512301E-2</v>
      </c>
      <c r="N60" s="10">
        <f t="shared" si="6"/>
        <v>2.0246775587698902E-2</v>
      </c>
      <c r="O60" s="7">
        <v>188.70130263926131</v>
      </c>
      <c r="P60" s="13">
        <v>4182</v>
      </c>
      <c r="Q60" s="13">
        <v>44860</v>
      </c>
      <c r="R60" s="22">
        <f t="shared" si="5"/>
        <v>0.47916117119493529</v>
      </c>
      <c r="S60" s="9">
        <f t="shared" si="1"/>
        <v>10.726924916307986</v>
      </c>
      <c r="T60" s="12">
        <v>154090.86221256774</v>
      </c>
    </row>
    <row r="61" spans="1:20" x14ac:dyDescent="0.45">
      <c r="A61" s="11">
        <v>39783</v>
      </c>
      <c r="B61" s="1">
        <v>0.7256746879101974</v>
      </c>
      <c r="C61">
        <f>IF(B61&lt;2,0, 1)</f>
        <v>0</v>
      </c>
      <c r="D61">
        <v>19.75</v>
      </c>
      <c r="E61" s="2">
        <v>305421685</v>
      </c>
      <c r="F61" s="17">
        <f t="shared" si="2"/>
        <v>1.3391784744694863E-2</v>
      </c>
      <c r="G61" s="18">
        <v>125.22132618120183</v>
      </c>
      <c r="H61" s="19">
        <f t="shared" si="3"/>
        <v>-6.6936691986101096E-2</v>
      </c>
      <c r="I61" s="20">
        <v>3.5000000000000001E-3</v>
      </c>
      <c r="J61" s="21">
        <v>132.5520106061426</v>
      </c>
      <c r="K61" s="21">
        <f t="shared" si="0"/>
        <v>10.932466780863336</v>
      </c>
      <c r="L61" s="5">
        <f t="shared" si="4"/>
        <v>37.950595687372356</v>
      </c>
      <c r="M61" s="10">
        <v>2.6535670972512301E-2</v>
      </c>
      <c r="N61" s="10">
        <f t="shared" si="6"/>
        <v>2.0246775587698902E-2</v>
      </c>
      <c r="O61" s="7">
        <v>182.26335894197089</v>
      </c>
      <c r="P61" s="13">
        <v>3457</v>
      </c>
      <c r="Q61" s="13">
        <v>46176</v>
      </c>
      <c r="R61" s="22">
        <f t="shared" si="5"/>
        <v>0.44133345818896896</v>
      </c>
      <c r="S61" s="9">
        <f t="shared" si="1"/>
        <v>13.357246167196992</v>
      </c>
      <c r="T61" s="12">
        <v>154090.86221256774</v>
      </c>
    </row>
    <row r="62" spans="1:20" x14ac:dyDescent="0.45">
      <c r="A62" s="11">
        <v>39814</v>
      </c>
      <c r="B62" s="1">
        <v>-2.1568390595614901</v>
      </c>
      <c r="C62">
        <f>IF(B62&lt;2,0, 1)</f>
        <v>0</v>
      </c>
      <c r="D62">
        <v>13.0625</v>
      </c>
      <c r="E62" s="2">
        <v>306737807</v>
      </c>
      <c r="F62" s="17">
        <f t="shared" si="2"/>
        <v>4.3091963165614779E-3</v>
      </c>
      <c r="G62" s="18">
        <v>124.20945428202384</v>
      </c>
      <c r="H62" s="19">
        <f t="shared" si="3"/>
        <v>-8.1516379047936488E-2</v>
      </c>
      <c r="I62" s="20">
        <v>-1.83E-2</v>
      </c>
      <c r="J62" s="21">
        <v>130.35535749177157</v>
      </c>
      <c r="K62" s="21">
        <f t="shared" si="0"/>
        <v>8.7358136664923052</v>
      </c>
      <c r="L62" s="5">
        <f t="shared" si="4"/>
        <v>38.232511998927947</v>
      </c>
      <c r="M62" s="10">
        <v>2.0963140124206699E-2</v>
      </c>
      <c r="N62" s="10">
        <f t="shared" si="6"/>
        <v>2.1951603923301598E-2</v>
      </c>
      <c r="O62" s="7">
        <v>199.9468199701283</v>
      </c>
      <c r="P62" s="13">
        <v>2760</v>
      </c>
      <c r="Q62" s="13">
        <v>47660</v>
      </c>
      <c r="R62" s="22">
        <f t="shared" si="5"/>
        <v>0.41260855389904849</v>
      </c>
      <c r="S62" s="9">
        <f t="shared" si="1"/>
        <v>17.268115942028984</v>
      </c>
      <c r="T62" s="12">
        <v>150056.19672873407</v>
      </c>
    </row>
    <row r="63" spans="1:20" x14ac:dyDescent="0.45">
      <c r="A63" s="11">
        <v>39845</v>
      </c>
      <c r="B63" s="1">
        <v>-0.2211855180728704</v>
      </c>
      <c r="C63">
        <f>IF(B63&lt;2,0, 1)</f>
        <v>0</v>
      </c>
      <c r="D63">
        <v>11.8125</v>
      </c>
      <c r="E63" s="2">
        <v>305915225</v>
      </c>
      <c r="F63" s="17">
        <f t="shared" si="2"/>
        <v>-2.681710507241124E-3</v>
      </c>
      <c r="G63" s="18">
        <v>126.16610657353337</v>
      </c>
      <c r="H63" s="19">
        <f t="shared" si="3"/>
        <v>-5.4279424534637091E-2</v>
      </c>
      <c r="I63" s="20">
        <v>-1.83E-2</v>
      </c>
      <c r="J63" s="21">
        <v>131.8731290819529</v>
      </c>
      <c r="K63" s="21">
        <f t="shared" si="0"/>
        <v>10.253585256673631</v>
      </c>
      <c r="L63" s="5">
        <f t="shared" si="4"/>
        <v>40.054034945399536</v>
      </c>
      <c r="M63" s="10">
        <v>2.0963140124206699E-2</v>
      </c>
      <c r="N63" s="10">
        <f t="shared" si="6"/>
        <v>2.1951603923301598E-2</v>
      </c>
      <c r="O63" s="7">
        <v>191.9992751993934</v>
      </c>
      <c r="P63" s="13">
        <v>2663</v>
      </c>
      <c r="Q63" s="13">
        <v>49261</v>
      </c>
      <c r="R63" s="22">
        <f t="shared" si="5"/>
        <v>0.41003549347378065</v>
      </c>
      <c r="S63" s="9">
        <f t="shared" si="1"/>
        <v>18.498310176492677</v>
      </c>
      <c r="T63" s="12">
        <v>150056.19672873407</v>
      </c>
    </row>
    <row r="64" spans="1:20" x14ac:dyDescent="0.45">
      <c r="A64" s="11">
        <v>39873</v>
      </c>
      <c r="B64" s="1">
        <v>1.3173534743976225</v>
      </c>
      <c r="C64">
        <f>IF(B64&lt;2,0, 1)</f>
        <v>0</v>
      </c>
      <c r="D64">
        <v>12.375</v>
      </c>
      <c r="E64" s="2">
        <v>306125911</v>
      </c>
      <c r="F64" s="17">
        <f t="shared" si="2"/>
        <v>6.8870714100613981E-4</v>
      </c>
      <c r="G64" s="18">
        <v>123.42394031084405</v>
      </c>
      <c r="H64" s="19">
        <f t="shared" si="3"/>
        <v>-7.3004523365760021E-2</v>
      </c>
      <c r="I64" s="20">
        <v>-1.83E-2</v>
      </c>
      <c r="J64" s="21">
        <v>137.68880332171577</v>
      </c>
      <c r="K64" s="21">
        <f t="shared" si="0"/>
        <v>16.069259496436501</v>
      </c>
      <c r="L64" s="5">
        <f t="shared" si="4"/>
        <v>34.943076897026458</v>
      </c>
      <c r="M64" s="10">
        <v>2.0963140124206699E-2</v>
      </c>
      <c r="N64" s="10">
        <f t="shared" si="6"/>
        <v>2.1951603923301598E-2</v>
      </c>
      <c r="O64" s="7">
        <v>191.29231165756451</v>
      </c>
      <c r="P64" s="13">
        <v>2888</v>
      </c>
      <c r="Q64" s="13">
        <v>50464</v>
      </c>
      <c r="R64" s="22">
        <f t="shared" si="5"/>
        <v>0.36948085429726718</v>
      </c>
      <c r="S64" s="9">
        <f t="shared" si="1"/>
        <v>17.473684210526315</v>
      </c>
      <c r="T64" s="12">
        <v>150056.19672873407</v>
      </c>
    </row>
    <row r="65" spans="1:20" x14ac:dyDescent="0.45">
      <c r="A65" s="11">
        <v>39904</v>
      </c>
      <c r="B65" s="1">
        <v>0.29647988645615464</v>
      </c>
      <c r="C65">
        <f>IF(B65&lt;2,0, 1)</f>
        <v>0</v>
      </c>
      <c r="D65">
        <v>12.75</v>
      </c>
      <c r="E65" s="2">
        <v>311368123</v>
      </c>
      <c r="F65" s="17">
        <f t="shared" si="2"/>
        <v>1.7124365535983656E-2</v>
      </c>
      <c r="G65" s="18">
        <v>121.75458412427069</v>
      </c>
      <c r="H65" s="19">
        <f t="shared" si="3"/>
        <v>-0.10406164968401606</v>
      </c>
      <c r="I65" s="20">
        <v>-1.83E-2</v>
      </c>
      <c r="J65" s="21">
        <v>138.16315405450993</v>
      </c>
      <c r="K65" s="21">
        <f t="shared" si="0"/>
        <v>16.543610229230666</v>
      </c>
      <c r="L65" s="5">
        <f t="shared" si="4"/>
        <v>31.550110756692447</v>
      </c>
      <c r="M65" s="10">
        <v>2.16990611611E-2</v>
      </c>
      <c r="N65" s="10">
        <f t="shared" si="6"/>
        <v>1.4803261157600601E-2</v>
      </c>
      <c r="O65" s="7">
        <v>210.89410130151401</v>
      </c>
      <c r="P65" s="13">
        <v>2777</v>
      </c>
      <c r="Q65" s="13">
        <v>50247</v>
      </c>
      <c r="R65" s="22">
        <f t="shared" si="5"/>
        <v>0.30153344039786556</v>
      </c>
      <c r="S65" s="9">
        <f t="shared" si="1"/>
        <v>18.093986316168529</v>
      </c>
      <c r="T65" s="12">
        <v>151290.3769597958</v>
      </c>
    </row>
    <row r="66" spans="1:20" x14ac:dyDescent="0.45">
      <c r="A66" s="11">
        <v>39934</v>
      </c>
      <c r="B66" s="1">
        <v>0.1928208006888229</v>
      </c>
      <c r="C66">
        <f>IF(B66&lt;2,0, 1)</f>
        <v>0</v>
      </c>
      <c r="D66">
        <v>12.9375</v>
      </c>
      <c r="E66" s="2">
        <v>314637208</v>
      </c>
      <c r="F66" s="17">
        <f t="shared" si="2"/>
        <v>1.0499099806694084E-2</v>
      </c>
      <c r="G66" s="18">
        <v>121.09885032679583</v>
      </c>
      <c r="H66" s="19">
        <f t="shared" si="3"/>
        <v>-0.10242905156846821</v>
      </c>
      <c r="I66" s="20">
        <v>-1.83E-2</v>
      </c>
      <c r="J66" s="21">
        <v>146.8250573272594</v>
      </c>
      <c r="K66" s="21">
        <f t="shared" si="0"/>
        <v>25.205513501980136</v>
      </c>
      <c r="L66" s="5">
        <f t="shared" si="4"/>
        <v>30.807177973722133</v>
      </c>
      <c r="M66" s="10">
        <v>2.16990611611E-2</v>
      </c>
      <c r="N66" s="10">
        <f t="shared" si="6"/>
        <v>1.4803261157600601E-2</v>
      </c>
      <c r="O66" s="7">
        <v>232.39168308759389</v>
      </c>
      <c r="P66" s="13">
        <v>2660</v>
      </c>
      <c r="Q66" s="13">
        <v>48588</v>
      </c>
      <c r="R66" s="22">
        <f t="shared" si="5"/>
        <v>0.19730908553263848</v>
      </c>
      <c r="S66" s="9">
        <f t="shared" si="1"/>
        <v>18.266165413533834</v>
      </c>
      <c r="T66" s="12">
        <v>151290.3769597958</v>
      </c>
    </row>
    <row r="67" spans="1:20" x14ac:dyDescent="0.45">
      <c r="A67" s="11">
        <v>39965</v>
      </c>
      <c r="B67" s="1">
        <v>0.44374651541419874</v>
      </c>
      <c r="C67">
        <f>IF(B67&lt;2,0, 1)</f>
        <v>0</v>
      </c>
      <c r="D67">
        <v>12.9375</v>
      </c>
      <c r="E67" s="2">
        <v>316142634</v>
      </c>
      <c r="F67" s="17">
        <f t="shared" si="2"/>
        <v>4.7846407281874935E-3</v>
      </c>
      <c r="G67" s="18">
        <v>122.58958545520127</v>
      </c>
      <c r="H67" s="19">
        <f t="shared" si="3"/>
        <v>-7.9626586357150683E-2</v>
      </c>
      <c r="I67" s="20">
        <v>-1.83E-2</v>
      </c>
      <c r="J67" s="21">
        <v>148.79029412230079</v>
      </c>
      <c r="K67" s="21">
        <f t="shared" ref="K67:K130" si="7">J67-AVERAGE($J$2:$J$235)</f>
        <v>27.170750297021527</v>
      </c>
      <c r="L67" s="5">
        <f t="shared" si="4"/>
        <v>25.445014121642146</v>
      </c>
      <c r="M67" s="10">
        <v>2.16990611611E-2</v>
      </c>
      <c r="N67" s="10">
        <f t="shared" si="6"/>
        <v>1.4803261157600601E-2</v>
      </c>
      <c r="O67" s="7">
        <v>242.99421366850359</v>
      </c>
      <c r="P67" s="13">
        <v>3619</v>
      </c>
      <c r="Q67" s="13">
        <v>47516</v>
      </c>
      <c r="R67" s="22">
        <f t="shared" si="5"/>
        <v>0.10100331348332836</v>
      </c>
      <c r="S67" s="9">
        <f t="shared" ref="S67:S130" si="8">Q67/P67</f>
        <v>13.129593810444874</v>
      </c>
      <c r="T67" s="12">
        <v>151290.3769597958</v>
      </c>
    </row>
    <row r="68" spans="1:20" x14ac:dyDescent="0.45">
      <c r="A68" s="11">
        <v>39995</v>
      </c>
      <c r="B68" s="1">
        <v>0.27311035288815289</v>
      </c>
      <c r="C68">
        <f>IF(B68&lt;2,0, 1)</f>
        <v>0</v>
      </c>
      <c r="D68">
        <v>13.1875</v>
      </c>
      <c r="E68" s="2">
        <v>319136673</v>
      </c>
      <c r="F68" s="17">
        <f t="shared" ref="F68:F131" si="9">(E68-E67)/E67</f>
        <v>9.4705322155315495E-3</v>
      </c>
      <c r="G68" s="18">
        <v>124.7220081616391</v>
      </c>
      <c r="H68" s="19">
        <f t="shared" si="3"/>
        <v>-7.8711789872227836E-2</v>
      </c>
      <c r="I68" s="20">
        <v>-1.83E-2</v>
      </c>
      <c r="J68" s="21">
        <v>152.00662229292539</v>
      </c>
      <c r="K68" s="21">
        <f t="shared" si="7"/>
        <v>30.38707846764612</v>
      </c>
      <c r="L68" s="5">
        <f t="shared" si="4"/>
        <v>26.307817862158828</v>
      </c>
      <c r="M68" s="10">
        <v>1.3489595319647499E-2</v>
      </c>
      <c r="N68" s="10">
        <f t="shared" si="6"/>
        <v>1.45557475554707E-2</v>
      </c>
      <c r="O68" s="7">
        <v>219.3285053239282</v>
      </c>
      <c r="P68" s="13">
        <v>3589</v>
      </c>
      <c r="Q68" s="13">
        <v>47545</v>
      </c>
      <c r="R68" s="22">
        <f t="shared" si="5"/>
        <v>7.563006198814537E-2</v>
      </c>
      <c r="S68" s="9">
        <f t="shared" si="8"/>
        <v>13.24742268041237</v>
      </c>
      <c r="T68" s="12">
        <v>153727.13163939043</v>
      </c>
    </row>
    <row r="69" spans="1:20" x14ac:dyDescent="0.45">
      <c r="A69" s="11">
        <v>40026</v>
      </c>
      <c r="B69" s="1">
        <v>0.12767803631543007</v>
      </c>
      <c r="C69">
        <f>IF(B69&lt;2,0, 1)</f>
        <v>0</v>
      </c>
      <c r="D69">
        <v>12.5</v>
      </c>
      <c r="E69" s="2">
        <v>323429327</v>
      </c>
      <c r="F69" s="17">
        <f t="shared" si="9"/>
        <v>1.3450832709533197E-2</v>
      </c>
      <c r="G69" s="18">
        <v>126.79077514717586</v>
      </c>
      <c r="H69" s="19">
        <f t="shared" si="3"/>
        <v>-6.5049250531769395E-2</v>
      </c>
      <c r="I69" s="20">
        <v>-1.83E-2</v>
      </c>
      <c r="J69" s="21">
        <v>150.18737909280873</v>
      </c>
      <c r="K69" s="21">
        <f t="shared" si="7"/>
        <v>28.56783526752946</v>
      </c>
      <c r="L69" s="5">
        <f t="shared" si="4"/>
        <v>20.022039778824052</v>
      </c>
      <c r="M69" s="10">
        <v>1.3489595319647499E-2</v>
      </c>
      <c r="N69" s="10">
        <f t="shared" si="6"/>
        <v>1.45557475554707E-2</v>
      </c>
      <c r="O69" s="7">
        <v>227.64412640225601</v>
      </c>
      <c r="P69" s="13">
        <v>3255</v>
      </c>
      <c r="Q69" s="13">
        <v>47090</v>
      </c>
      <c r="R69" s="22">
        <f t="shared" si="5"/>
        <v>9.1056533827618136E-2</v>
      </c>
      <c r="S69" s="9">
        <f t="shared" si="8"/>
        <v>14.466973886328725</v>
      </c>
      <c r="T69" s="12">
        <v>153727.13163939043</v>
      </c>
    </row>
    <row r="70" spans="1:20" x14ac:dyDescent="0.45">
      <c r="A70" s="11">
        <v>40057</v>
      </c>
      <c r="B70" s="1">
        <v>-0.32859216181350337</v>
      </c>
      <c r="C70">
        <f>IF(B70&lt;2,0, 1)</f>
        <v>0</v>
      </c>
      <c r="D70">
        <v>12.1875</v>
      </c>
      <c r="E70" s="2">
        <v>328774364</v>
      </c>
      <c r="F70" s="17">
        <f t="shared" si="9"/>
        <v>1.6526135862750629E-2</v>
      </c>
      <c r="G70" s="18">
        <v>128.29345149114019</v>
      </c>
      <c r="H70" s="19">
        <f t="shared" si="3"/>
        <v>-5.6842431029888944E-2</v>
      </c>
      <c r="I70" s="20">
        <v>-1.83E-2</v>
      </c>
      <c r="J70" s="21">
        <v>151.71030851677605</v>
      </c>
      <c r="K70" s="21">
        <f t="shared" si="7"/>
        <v>30.090764691496787</v>
      </c>
      <c r="L70" s="5">
        <f t="shared" si="4"/>
        <v>12.824425214018817</v>
      </c>
      <c r="M70" s="10">
        <v>1.3489595319647499E-2</v>
      </c>
      <c r="N70" s="10">
        <f t="shared" si="6"/>
        <v>1.45557475554707E-2</v>
      </c>
      <c r="O70" s="7">
        <v>217.6271998370101</v>
      </c>
      <c r="P70" s="13">
        <v>3666</v>
      </c>
      <c r="Q70" s="13">
        <v>47121</v>
      </c>
      <c r="R70" s="22">
        <f t="shared" si="5"/>
        <v>9.8622088550045506E-2</v>
      </c>
      <c r="S70" s="9">
        <f t="shared" si="8"/>
        <v>12.853518821603927</v>
      </c>
      <c r="T70" s="12">
        <v>153727.13163939043</v>
      </c>
    </row>
    <row r="71" spans="1:20" x14ac:dyDescent="0.45">
      <c r="A71" s="11">
        <v>40087</v>
      </c>
      <c r="B71" s="1">
        <v>-0.86014168026718463</v>
      </c>
      <c r="C71">
        <f>IF(B71&lt;2,0, 1)</f>
        <v>0</v>
      </c>
      <c r="D71">
        <v>11.375</v>
      </c>
      <c r="E71" s="2">
        <v>331644459</v>
      </c>
      <c r="F71" s="17">
        <f t="shared" si="9"/>
        <v>8.7296800306486191E-3</v>
      </c>
      <c r="G71" s="18">
        <v>129.26263741888104</v>
      </c>
      <c r="H71" s="19">
        <f t="shared" si="3"/>
        <v>-2.4303829343855318E-2</v>
      </c>
      <c r="I71" s="20">
        <v>-1.83E-2</v>
      </c>
      <c r="J71" s="21">
        <v>149.68538548548668</v>
      </c>
      <c r="K71" s="21">
        <f t="shared" si="7"/>
        <v>28.065841660207411</v>
      </c>
      <c r="L71" s="5">
        <f t="shared" si="4"/>
        <v>11.278679513856133</v>
      </c>
      <c r="M71" s="10">
        <v>5.5478967416072002E-3</v>
      </c>
      <c r="N71" s="10">
        <f t="shared" si="6"/>
        <v>2.6535670972512301E-2</v>
      </c>
      <c r="O71" s="7">
        <v>213.00687100767979</v>
      </c>
      <c r="P71" s="13">
        <v>3656</v>
      </c>
      <c r="Q71" s="13">
        <v>44941</v>
      </c>
      <c r="R71" s="22">
        <f t="shared" si="5"/>
        <v>4.5139534883720911E-2</v>
      </c>
      <c r="S71" s="9">
        <f t="shared" si="8"/>
        <v>12.292396061269146</v>
      </c>
      <c r="T71" s="12">
        <v>149359.1892599386</v>
      </c>
    </row>
    <row r="72" spans="1:20" x14ac:dyDescent="0.45">
      <c r="A72" s="11">
        <v>40118</v>
      </c>
      <c r="B72" s="1">
        <v>-1.0679111331170188</v>
      </c>
      <c r="C72">
        <f>IF(B72&lt;2,0, 1)</f>
        <v>0</v>
      </c>
      <c r="D72">
        <v>10.0625</v>
      </c>
      <c r="E72" s="2">
        <v>333871800</v>
      </c>
      <c r="F72" s="17">
        <f t="shared" si="9"/>
        <v>6.7160506969302326E-3</v>
      </c>
      <c r="G72" s="18">
        <v>129.66863676052367</v>
      </c>
      <c r="H72" s="19">
        <f t="shared" si="3"/>
        <v>-5.3517992386815753E-3</v>
      </c>
      <c r="I72" s="20">
        <v>-1.83E-2</v>
      </c>
      <c r="J72" s="21">
        <v>149.58517273606051</v>
      </c>
      <c r="K72" s="21">
        <f t="shared" si="7"/>
        <v>27.965628910781248</v>
      </c>
      <c r="L72" s="5">
        <f t="shared" si="4"/>
        <v>5.5436851827354729</v>
      </c>
      <c r="M72" s="10">
        <v>5.5478967416072002E-3</v>
      </c>
      <c r="N72" s="10">
        <f t="shared" si="6"/>
        <v>2.6535670972512301E-2</v>
      </c>
      <c r="O72" s="7">
        <v>221.03995638748879</v>
      </c>
      <c r="P72" s="13">
        <v>3651</v>
      </c>
      <c r="Q72" s="13">
        <v>46072</v>
      </c>
      <c r="R72" s="22">
        <f t="shared" si="5"/>
        <v>2.7017387427552331E-2</v>
      </c>
      <c r="S72" s="9">
        <f t="shared" si="8"/>
        <v>12.619008490824431</v>
      </c>
      <c r="T72" s="12">
        <v>149359.1892599386</v>
      </c>
    </row>
    <row r="73" spans="1:20" x14ac:dyDescent="0.45">
      <c r="A73" s="11">
        <v>40148</v>
      </c>
      <c r="B73" s="1">
        <v>-0.39764730150579192</v>
      </c>
      <c r="C73">
        <f>IF(B73&lt;2,0, 1)</f>
        <v>0</v>
      </c>
      <c r="D73">
        <v>10</v>
      </c>
      <c r="E73" s="2">
        <v>352478589</v>
      </c>
      <c r="F73" s="17">
        <f t="shared" si="9"/>
        <v>5.5730340208427306E-2</v>
      </c>
      <c r="G73" s="18">
        <v>128.15183099063518</v>
      </c>
      <c r="H73" s="19">
        <f t="shared" si="3"/>
        <v>2.3402601607914214E-2</v>
      </c>
      <c r="I73" s="20">
        <v>-1.83E-2</v>
      </c>
      <c r="J73" s="21">
        <v>143.61536065997228</v>
      </c>
      <c r="K73" s="21">
        <f t="shared" si="7"/>
        <v>21.995816834693017</v>
      </c>
      <c r="L73" s="5">
        <f t="shared" si="4"/>
        <v>10.932466780863336</v>
      </c>
      <c r="M73" s="10">
        <v>5.5478967416072002E-3</v>
      </c>
      <c r="N73" s="10">
        <f t="shared" si="6"/>
        <v>2.6535670972512301E-2</v>
      </c>
      <c r="O73" s="7">
        <v>223.44160508471961</v>
      </c>
      <c r="P73" s="13">
        <v>3602</v>
      </c>
      <c r="Q73" s="13">
        <v>46386</v>
      </c>
      <c r="R73" s="22">
        <f t="shared" si="5"/>
        <v>4.5478170478170377E-3</v>
      </c>
      <c r="S73" s="9">
        <f t="shared" si="8"/>
        <v>12.877845641310383</v>
      </c>
      <c r="T73" s="12">
        <v>149359.1892599386</v>
      </c>
    </row>
    <row r="74" spans="1:20" x14ac:dyDescent="0.45">
      <c r="A74" s="11">
        <v>40179</v>
      </c>
      <c r="B74" s="1">
        <v>-0.11020940683154601</v>
      </c>
      <c r="C74">
        <f>IF(B74&lt;2,0, 1)</f>
        <v>0</v>
      </c>
      <c r="D74">
        <v>9.75</v>
      </c>
      <c r="E74" s="2">
        <v>354732407</v>
      </c>
      <c r="F74" s="17">
        <f t="shared" si="9"/>
        <v>6.3941983154046271E-3</v>
      </c>
      <c r="G74" s="18">
        <v>131.57290101901538</v>
      </c>
      <c r="H74" s="19">
        <f t="shared" si="3"/>
        <v>5.9282498096098681E-2</v>
      </c>
      <c r="I74" s="20">
        <v>-1.3899999999999999E-2</v>
      </c>
      <c r="J74" s="21">
        <v>137.20164249219485</v>
      </c>
      <c r="K74" s="21">
        <f t="shared" si="7"/>
        <v>15.582098666915584</v>
      </c>
      <c r="L74" s="5">
        <f t="shared" si="4"/>
        <v>8.7358136664923052</v>
      </c>
      <c r="M74" s="10">
        <v>2.2049649721784998E-3</v>
      </c>
      <c r="N74" s="10">
        <f t="shared" si="6"/>
        <v>2.0963140124206699E-2</v>
      </c>
      <c r="O74" s="7">
        <v>219.43972784749661</v>
      </c>
      <c r="P74" s="13">
        <v>3209</v>
      </c>
      <c r="Q74" s="13">
        <v>47009</v>
      </c>
      <c r="R74" s="22">
        <f t="shared" si="5"/>
        <v>-1.3659253042383579E-2</v>
      </c>
      <c r="S74" s="9">
        <f t="shared" si="8"/>
        <v>14.649111872857588</v>
      </c>
      <c r="T74" s="12">
        <v>148520.59070456435</v>
      </c>
    </row>
    <row r="75" spans="1:20" x14ac:dyDescent="0.45">
      <c r="A75" s="11">
        <v>40210</v>
      </c>
      <c r="B75" s="1">
        <v>0.1672483098318778</v>
      </c>
      <c r="C75">
        <f>IF(B75&lt;2,0, 1)</f>
        <v>0</v>
      </c>
      <c r="D75">
        <v>9.5</v>
      </c>
      <c r="E75" s="2">
        <v>354615020</v>
      </c>
      <c r="F75" s="17">
        <f t="shared" si="9"/>
        <v>-3.3091704530959306E-4</v>
      </c>
      <c r="G75" s="18">
        <v>133.12822570630311</v>
      </c>
      <c r="H75" s="19">
        <f t="shared" si="3"/>
        <v>5.518216676292545E-2</v>
      </c>
      <c r="I75" s="20">
        <v>-1.3899999999999999E-2</v>
      </c>
      <c r="J75" s="21">
        <v>134.62922152662989</v>
      </c>
      <c r="K75" s="21">
        <f t="shared" si="7"/>
        <v>13.009677701350626</v>
      </c>
      <c r="L75" s="5">
        <f t="shared" si="4"/>
        <v>10.253585256673631</v>
      </c>
      <c r="M75" s="10">
        <v>2.2049649721784998E-3</v>
      </c>
      <c r="N75" s="10">
        <f t="shared" si="6"/>
        <v>2.0963140124206699E-2</v>
      </c>
      <c r="O75" s="7">
        <v>210.77260128760071</v>
      </c>
      <c r="P75" s="13">
        <v>3455</v>
      </c>
      <c r="Q75" s="13">
        <v>47025</v>
      </c>
      <c r="R75" s="22">
        <f t="shared" si="5"/>
        <v>-4.5390877164491195E-2</v>
      </c>
      <c r="S75" s="9">
        <f t="shared" si="8"/>
        <v>13.610709117221418</v>
      </c>
      <c r="T75" s="12">
        <v>148520.59070456435</v>
      </c>
    </row>
    <row r="76" spans="1:20" x14ac:dyDescent="0.45">
      <c r="A76" s="11">
        <v>40238</v>
      </c>
      <c r="B76" s="1">
        <v>0.11875026844467063</v>
      </c>
      <c r="C76">
        <f>IF(B76&lt;2,0, 1)</f>
        <v>0</v>
      </c>
      <c r="D76">
        <v>9.375</v>
      </c>
      <c r="E76" s="2">
        <v>372226719</v>
      </c>
      <c r="F76" s="17">
        <f t="shared" si="9"/>
        <v>4.9664278179756743E-2</v>
      </c>
      <c r="G76" s="18">
        <v>133.98460017047876</v>
      </c>
      <c r="H76" s="19">
        <f t="shared" si="3"/>
        <v>8.556411205992627E-2</v>
      </c>
      <c r="I76" s="20">
        <v>-1.3899999999999999E-2</v>
      </c>
      <c r="J76" s="21">
        <v>132.96351842198422</v>
      </c>
      <c r="K76" s="21">
        <f t="shared" si="7"/>
        <v>11.343974596704953</v>
      </c>
      <c r="L76" s="5">
        <f t="shared" si="4"/>
        <v>16.069259496436501</v>
      </c>
      <c r="M76" s="10">
        <v>2.2049649721784998E-3</v>
      </c>
      <c r="N76" s="10">
        <f t="shared" si="6"/>
        <v>2.0963140124206699E-2</v>
      </c>
      <c r="O76" s="7">
        <v>210.55041094259019</v>
      </c>
      <c r="P76" s="13">
        <v>4403</v>
      </c>
      <c r="Q76" s="13">
        <v>46509</v>
      </c>
      <c r="R76" s="22">
        <f t="shared" si="5"/>
        <v>-7.8372701331642314E-2</v>
      </c>
      <c r="S76" s="9">
        <f t="shared" si="8"/>
        <v>10.563025210084033</v>
      </c>
      <c r="T76" s="12">
        <v>148520.59070456435</v>
      </c>
    </row>
    <row r="77" spans="1:20" x14ac:dyDescent="0.45">
      <c r="A77" s="11">
        <v>40269</v>
      </c>
      <c r="B77" s="1">
        <v>-0.24005179937012919</v>
      </c>
      <c r="C77">
        <f>IF(B77&lt;2,0, 1)</f>
        <v>0</v>
      </c>
      <c r="D77">
        <v>9.25</v>
      </c>
      <c r="E77" s="2">
        <v>385184546</v>
      </c>
      <c r="F77" s="17">
        <f t="shared" si="9"/>
        <v>3.4811651981382884E-2</v>
      </c>
      <c r="G77" s="18">
        <v>136.83869236241836</v>
      </c>
      <c r="H77" s="19">
        <f t="shared" si="3"/>
        <v>0.12388944816034062</v>
      </c>
      <c r="I77" s="20">
        <v>-1.3899999999999999E-2</v>
      </c>
      <c r="J77" s="21">
        <v>132.84805871106093</v>
      </c>
      <c r="K77" s="21">
        <f t="shared" si="7"/>
        <v>11.228514885781664</v>
      </c>
      <c r="L77" s="5">
        <f t="shared" si="4"/>
        <v>16.543610229230666</v>
      </c>
      <c r="M77" s="10">
        <v>-4.1617979083741E-3</v>
      </c>
      <c r="N77" s="10">
        <f t="shared" si="6"/>
        <v>2.16990611611E-2</v>
      </c>
      <c r="O77" s="7">
        <v>219.61107553792419</v>
      </c>
      <c r="P77" s="13">
        <v>4101</v>
      </c>
      <c r="Q77" s="13">
        <v>46368</v>
      </c>
      <c r="R77" s="22">
        <f t="shared" si="5"/>
        <v>-7.7198638724700008E-2</v>
      </c>
      <c r="S77" s="9">
        <f t="shared" si="8"/>
        <v>11.306510607168983</v>
      </c>
      <c r="T77" s="12">
        <v>140919.25644161258</v>
      </c>
    </row>
    <row r="78" spans="1:20" x14ac:dyDescent="0.45">
      <c r="A78" s="11">
        <v>40299</v>
      </c>
      <c r="B78" s="1">
        <v>0.23829897344111428</v>
      </c>
      <c r="C78">
        <f>IF(B78&lt;2,0, 1)</f>
        <v>0</v>
      </c>
      <c r="D78">
        <v>9.75</v>
      </c>
      <c r="E78" s="2">
        <v>397301450</v>
      </c>
      <c r="F78" s="17">
        <f t="shared" si="9"/>
        <v>3.1457399124210972E-2</v>
      </c>
      <c r="G78" s="18">
        <v>139.14076893891666</v>
      </c>
      <c r="H78" s="19">
        <f t="shared" si="3"/>
        <v>0.14898505281786859</v>
      </c>
      <c r="I78" s="20">
        <v>-1.3899999999999999E-2</v>
      </c>
      <c r="J78" s="21">
        <v>127.34384967593159</v>
      </c>
      <c r="K78" s="21">
        <f t="shared" si="7"/>
        <v>5.7243058506523283</v>
      </c>
      <c r="L78" s="5">
        <f t="shared" si="4"/>
        <v>25.205513501980136</v>
      </c>
      <c r="M78" s="10">
        <v>-4.1617979083741E-3</v>
      </c>
      <c r="N78" s="10">
        <f t="shared" si="6"/>
        <v>2.16990611611E-2</v>
      </c>
      <c r="O78" s="7">
        <v>215.51808842778979</v>
      </c>
      <c r="P78" s="13">
        <v>4575</v>
      </c>
      <c r="Q78" s="13">
        <v>46545</v>
      </c>
      <c r="R78" s="22">
        <f t="shared" si="5"/>
        <v>-4.2047419115831097E-2</v>
      </c>
      <c r="S78" s="9">
        <f t="shared" si="8"/>
        <v>10.173770491803278</v>
      </c>
      <c r="T78" s="12">
        <v>140919.25644161258</v>
      </c>
    </row>
    <row r="79" spans="1:20" x14ac:dyDescent="0.45">
      <c r="A79" s="11">
        <v>40330</v>
      </c>
      <c r="B79" s="1">
        <v>0.29108948341270591</v>
      </c>
      <c r="C79">
        <f>IF(B79&lt;2,0, 1)</f>
        <v>0</v>
      </c>
      <c r="D79">
        <v>10.3125</v>
      </c>
      <c r="E79" s="2">
        <v>408066630</v>
      </c>
      <c r="F79" s="17">
        <f t="shared" si="9"/>
        <v>2.7095748077435911E-2</v>
      </c>
      <c r="G79" s="18">
        <v>140.57169203037046</v>
      </c>
      <c r="H79" s="19">
        <f t="shared" ref="H79:H142" si="10">(G79-G67)/G67</f>
        <v>0.14668543423487229</v>
      </c>
      <c r="I79" s="20">
        <v>-1.3899999999999999E-2</v>
      </c>
      <c r="J79" s="21">
        <v>126.57950815573903</v>
      </c>
      <c r="K79" s="21">
        <f t="shared" si="7"/>
        <v>4.9599643304597691</v>
      </c>
      <c r="L79" s="5">
        <f t="shared" ref="L79:L142" si="11">K67</f>
        <v>27.170750297021527</v>
      </c>
      <c r="M79" s="10">
        <v>-4.1617979083741E-3</v>
      </c>
      <c r="N79" s="10">
        <f t="shared" si="6"/>
        <v>2.16990611611E-2</v>
      </c>
      <c r="O79" s="7">
        <v>216.6482338012801</v>
      </c>
      <c r="P79" s="13">
        <v>5151</v>
      </c>
      <c r="Q79" s="13">
        <v>46026</v>
      </c>
      <c r="R79" s="22">
        <f t="shared" ref="R79:R142" si="12">(Q79/Q67)-1</f>
        <v>-3.1357858405589689E-2</v>
      </c>
      <c r="S79" s="9">
        <f t="shared" si="8"/>
        <v>8.9353523587652877</v>
      </c>
      <c r="T79" s="12">
        <v>140919.25644161258</v>
      </c>
    </row>
    <row r="80" spans="1:20" x14ac:dyDescent="0.45">
      <c r="A80" s="11">
        <v>40360</v>
      </c>
      <c r="B80" s="1">
        <v>-0.47050053579369605</v>
      </c>
      <c r="C80">
        <f>IF(B80&lt;2,0, 1)</f>
        <v>0</v>
      </c>
      <c r="D80">
        <v>10.4375</v>
      </c>
      <c r="E80" s="2">
        <v>411174698</v>
      </c>
      <c r="F80" s="17">
        <f t="shared" si="9"/>
        <v>7.6165698724250004E-3</v>
      </c>
      <c r="G80" s="18">
        <v>139.41240753972806</v>
      </c>
      <c r="H80" s="19">
        <f t="shared" si="10"/>
        <v>0.11778514148882438</v>
      </c>
      <c r="I80" s="20">
        <v>-1.3899999999999999E-2</v>
      </c>
      <c r="J80" s="21">
        <v>128.5313112075695</v>
      </c>
      <c r="K80" s="21">
        <f t="shared" si="7"/>
        <v>6.9117673822902361</v>
      </c>
      <c r="L80" s="5">
        <f t="shared" si="11"/>
        <v>30.38707846764612</v>
      </c>
      <c r="M80" s="10">
        <v>-4.5092972929795996E-3</v>
      </c>
      <c r="N80" s="10">
        <f t="shared" si="6"/>
        <v>1.3489595319647499E-2</v>
      </c>
      <c r="O80" s="7">
        <v>226.06724309169809</v>
      </c>
      <c r="P80" s="13">
        <v>5291</v>
      </c>
      <c r="Q80" s="13">
        <v>46047</v>
      </c>
      <c r="R80" s="22">
        <f t="shared" si="12"/>
        <v>-3.1506993374697645E-2</v>
      </c>
      <c r="S80" s="9">
        <f t="shared" si="8"/>
        <v>8.7028917028917032</v>
      </c>
      <c r="T80" s="12">
        <v>143410.66015833383</v>
      </c>
    </row>
    <row r="81" spans="1:20" x14ac:dyDescent="0.45">
      <c r="A81" s="11">
        <v>40391</v>
      </c>
      <c r="B81" s="1">
        <v>0.24023744531270602</v>
      </c>
      <c r="C81">
        <f>IF(B81&lt;2,0, 1)</f>
        <v>0</v>
      </c>
      <c r="D81">
        <v>10.375</v>
      </c>
      <c r="E81" s="2">
        <v>423462704</v>
      </c>
      <c r="F81" s="17">
        <f t="shared" si="9"/>
        <v>2.9885121968278312E-2</v>
      </c>
      <c r="G81" s="18">
        <v>140.03111103883029</v>
      </c>
      <c r="H81" s="19">
        <f t="shared" si="10"/>
        <v>0.1044266499379418</v>
      </c>
      <c r="I81" s="20">
        <v>-1.3899999999999999E-2</v>
      </c>
      <c r="J81" s="21">
        <v>127.30200855115919</v>
      </c>
      <c r="K81" s="21">
        <f t="shared" si="7"/>
        <v>5.6824647258799246</v>
      </c>
      <c r="L81" s="5">
        <f t="shared" si="11"/>
        <v>28.56783526752946</v>
      </c>
      <c r="M81" s="10">
        <v>-4.5092972929795996E-3</v>
      </c>
      <c r="N81" s="10">
        <f t="shared" si="6"/>
        <v>1.3489595319647499E-2</v>
      </c>
      <c r="O81" s="7">
        <v>234.29930970564331</v>
      </c>
      <c r="P81" s="13">
        <v>5355</v>
      </c>
      <c r="Q81" s="13">
        <v>45021</v>
      </c>
      <c r="R81" s="22">
        <f t="shared" si="12"/>
        <v>-4.3937141643661026E-2</v>
      </c>
      <c r="S81" s="9">
        <f t="shared" si="8"/>
        <v>8.4072829131652664</v>
      </c>
      <c r="T81" s="12">
        <v>143410.66015833383</v>
      </c>
    </row>
    <row r="82" spans="1:20" x14ac:dyDescent="0.45">
      <c r="A82" s="11">
        <v>40422</v>
      </c>
      <c r="B82" s="1">
        <v>-0.15936222273349673</v>
      </c>
      <c r="C82">
        <f>IF(B82&lt;2,0, 1)</f>
        <v>0</v>
      </c>
      <c r="D82">
        <v>10.4375</v>
      </c>
      <c r="E82" s="2">
        <v>436531500</v>
      </c>
      <c r="F82" s="17">
        <f t="shared" si="9"/>
        <v>3.0861740305705883E-2</v>
      </c>
      <c r="G82" s="18">
        <v>139.44222897548383</v>
      </c>
      <c r="H82" s="19">
        <f t="shared" si="10"/>
        <v>8.690059667709199E-2</v>
      </c>
      <c r="I82" s="20">
        <v>-1.3899999999999999E-2</v>
      </c>
      <c r="J82" s="21">
        <v>130.34726056557957</v>
      </c>
      <c r="K82" s="21">
        <f t="shared" si="7"/>
        <v>8.7277167403003091</v>
      </c>
      <c r="L82" s="5">
        <f t="shared" si="11"/>
        <v>30.090764691496787</v>
      </c>
      <c r="M82" s="10">
        <v>-4.5092972929795996E-3</v>
      </c>
      <c r="N82" s="10">
        <f t="shared" si="6"/>
        <v>1.3489595319647499E-2</v>
      </c>
      <c r="O82" s="7">
        <v>238.29756148412639</v>
      </c>
      <c r="P82" s="13">
        <v>5337</v>
      </c>
      <c r="Q82" s="13">
        <v>45348</v>
      </c>
      <c r="R82" s="22">
        <f t="shared" si="12"/>
        <v>-3.7626535939390027E-2</v>
      </c>
      <c r="S82" s="9">
        <f t="shared" si="8"/>
        <v>8.4969083754918486</v>
      </c>
      <c r="T82" s="12">
        <v>143410.66015833383</v>
      </c>
    </row>
    <row r="83" spans="1:20" x14ac:dyDescent="0.45">
      <c r="A83" s="11">
        <v>40452</v>
      </c>
      <c r="B83" s="1">
        <v>1.9270033233766415E-2</v>
      </c>
      <c r="C83">
        <f>IF(B83&lt;2,0, 1)</f>
        <v>0</v>
      </c>
      <c r="D83">
        <v>10.875</v>
      </c>
      <c r="E83" s="2">
        <v>448390259</v>
      </c>
      <c r="F83" s="17">
        <f t="shared" si="9"/>
        <v>2.7165872336818764E-2</v>
      </c>
      <c r="G83" s="18">
        <v>140.15871463470287</v>
      </c>
      <c r="H83" s="19">
        <f t="shared" si="10"/>
        <v>8.4294096371503188E-2</v>
      </c>
      <c r="I83" s="20">
        <v>-1.3899999999999999E-2</v>
      </c>
      <c r="J83" s="21">
        <v>127.27611346604624</v>
      </c>
      <c r="K83" s="21">
        <f t="shared" si="7"/>
        <v>5.6565696407669748</v>
      </c>
      <c r="L83" s="5">
        <f t="shared" si="11"/>
        <v>28.065841660207411</v>
      </c>
      <c r="M83" s="10">
        <v>-8.4401199127908007E-3</v>
      </c>
      <c r="N83" s="10">
        <f t="shared" si="6"/>
        <v>5.5478967416072002E-3</v>
      </c>
      <c r="O83" s="7">
        <v>252.2598040681913</v>
      </c>
      <c r="P83" s="13">
        <v>4951</v>
      </c>
      <c r="Q83" s="13">
        <v>46277</v>
      </c>
      <c r="R83" s="22">
        <f t="shared" si="12"/>
        <v>2.9727865423555322E-2</v>
      </c>
      <c r="S83" s="9">
        <f t="shared" si="8"/>
        <v>9.3470006059381952</v>
      </c>
      <c r="T83" s="12">
        <v>144653.29535945051</v>
      </c>
    </row>
    <row r="84" spans="1:20" x14ac:dyDescent="0.45">
      <c r="A84" s="11">
        <v>40483</v>
      </c>
      <c r="B84" s="1">
        <v>0.14381905363111602</v>
      </c>
      <c r="C84">
        <f>IF(B84&lt;2,0, 1)</f>
        <v>0</v>
      </c>
      <c r="D84">
        <v>10.9375</v>
      </c>
      <c r="E84" s="2">
        <v>457592006</v>
      </c>
      <c r="F84" s="17">
        <f t="shared" si="9"/>
        <v>2.0521737070117754E-2</v>
      </c>
      <c r="G84" s="18">
        <v>142.37950403994881</v>
      </c>
      <c r="H84" s="19">
        <f t="shared" si="10"/>
        <v>9.8025764725976072E-2</v>
      </c>
      <c r="I84" s="20">
        <v>-1.3899999999999999E-2</v>
      </c>
      <c r="J84" s="21">
        <v>124.23556923886123</v>
      </c>
      <c r="K84" s="21">
        <f t="shared" si="7"/>
        <v>2.6160254135819656</v>
      </c>
      <c r="L84" s="5">
        <f t="shared" si="11"/>
        <v>27.965628910781248</v>
      </c>
      <c r="M84" s="10">
        <v>-8.4401199127908007E-3</v>
      </c>
      <c r="N84" s="10">
        <f t="shared" si="6"/>
        <v>5.5478967416072002E-3</v>
      </c>
      <c r="O84" s="7">
        <v>269.04131105198951</v>
      </c>
      <c r="P84" s="13">
        <v>5576</v>
      </c>
      <c r="Q84" s="13">
        <v>47072</v>
      </c>
      <c r="R84" s="22">
        <f t="shared" si="12"/>
        <v>2.1705157145337717E-2</v>
      </c>
      <c r="S84" s="9">
        <f t="shared" si="8"/>
        <v>8.4418938307030125</v>
      </c>
      <c r="T84" s="12">
        <v>144653.29535945051</v>
      </c>
    </row>
    <row r="85" spans="1:20" x14ac:dyDescent="0.45">
      <c r="A85" s="11">
        <v>40513</v>
      </c>
      <c r="B85" s="1">
        <v>0.10600533038503067</v>
      </c>
      <c r="C85">
        <f>IF(B85&lt;2,0, 1)</f>
        <v>0</v>
      </c>
      <c r="D85">
        <v>11.25</v>
      </c>
      <c r="E85" s="2">
        <v>485228799</v>
      </c>
      <c r="F85" s="17">
        <f t="shared" si="9"/>
        <v>6.0396144682649901E-2</v>
      </c>
      <c r="G85" s="18">
        <v>141.97286234127162</v>
      </c>
      <c r="H85" s="19">
        <f t="shared" si="10"/>
        <v>0.10784887928481046</v>
      </c>
      <c r="I85" s="20">
        <v>-1.3899999999999999E-2</v>
      </c>
      <c r="J85" s="21">
        <v>125.46066245334386</v>
      </c>
      <c r="K85" s="21">
        <f t="shared" si="7"/>
        <v>3.8411186280645921</v>
      </c>
      <c r="L85" s="5">
        <f t="shared" si="11"/>
        <v>21.995816834693017</v>
      </c>
      <c r="M85" s="10">
        <v>-8.4401199127908007E-3</v>
      </c>
      <c r="N85" s="10">
        <f t="shared" si="6"/>
        <v>5.5478967416072002E-3</v>
      </c>
      <c r="O85" s="7">
        <v>281.72117524492228</v>
      </c>
      <c r="P85" s="13">
        <v>5389</v>
      </c>
      <c r="Q85" s="13">
        <v>47967</v>
      </c>
      <c r="R85" s="22">
        <f t="shared" si="12"/>
        <v>3.4083559694735532E-2</v>
      </c>
      <c r="S85" s="9">
        <f t="shared" si="8"/>
        <v>8.9009092596028943</v>
      </c>
      <c r="T85" s="12">
        <v>144653.29535945051</v>
      </c>
    </row>
    <row r="86" spans="1:20" x14ac:dyDescent="0.45">
      <c r="A86" s="11">
        <v>40544</v>
      </c>
      <c r="B86" s="1">
        <v>-0.11745405795629753</v>
      </c>
      <c r="C86">
        <f>IF(B86&lt;2,0, 1)</f>
        <v>0</v>
      </c>
      <c r="D86">
        <v>11.125</v>
      </c>
      <c r="E86" s="2">
        <v>488613183</v>
      </c>
      <c r="F86" s="17">
        <f t="shared" si="9"/>
        <v>6.9748209648207628E-3</v>
      </c>
      <c r="G86" s="18">
        <v>145.72519982497022</v>
      </c>
      <c r="H86" s="19">
        <f t="shared" si="10"/>
        <v>0.10756241366076973</v>
      </c>
      <c r="I86" s="20">
        <v>-2.75E-2</v>
      </c>
      <c r="J86" s="21">
        <v>125.87508288208409</v>
      </c>
      <c r="K86" s="21">
        <f t="shared" si="7"/>
        <v>4.255539056804821</v>
      </c>
      <c r="L86" s="5">
        <f t="shared" si="11"/>
        <v>15.582098666915584</v>
      </c>
      <c r="M86" s="10">
        <v>-1.00273524051771E-2</v>
      </c>
      <c r="N86" s="10">
        <f t="shared" si="6"/>
        <v>2.2049649721784998E-3</v>
      </c>
      <c r="O86" s="7">
        <v>295.88389993177992</v>
      </c>
      <c r="P86" s="13">
        <v>4889</v>
      </c>
      <c r="Q86" s="13">
        <v>48129</v>
      </c>
      <c r="R86" s="22">
        <f t="shared" si="12"/>
        <v>2.3825224956923075E-2</v>
      </c>
      <c r="S86" s="9">
        <f t="shared" si="8"/>
        <v>9.8443444467171197</v>
      </c>
      <c r="T86" s="12">
        <v>148792.12044799153</v>
      </c>
    </row>
    <row r="87" spans="1:20" x14ac:dyDescent="0.45">
      <c r="A87" s="11">
        <v>40575</v>
      </c>
      <c r="B87" s="1">
        <v>0.16839710154918941</v>
      </c>
      <c r="C87">
        <f>IF(B87&lt;2,0, 1)</f>
        <v>0</v>
      </c>
      <c r="D87">
        <v>11</v>
      </c>
      <c r="E87" s="2">
        <v>496078889</v>
      </c>
      <c r="F87" s="17">
        <f t="shared" si="9"/>
        <v>1.5279378984745894E-2</v>
      </c>
      <c r="G87" s="18">
        <v>143.91108158292812</v>
      </c>
      <c r="H87" s="19">
        <f t="shared" si="10"/>
        <v>8.0996015829229814E-2</v>
      </c>
      <c r="I87" s="20">
        <v>-2.75E-2</v>
      </c>
      <c r="J87" s="21">
        <v>127.08910335846417</v>
      </c>
      <c r="K87" s="21">
        <f t="shared" si="7"/>
        <v>5.4695595331849063</v>
      </c>
      <c r="L87" s="5">
        <f t="shared" si="11"/>
        <v>13.009677701350626</v>
      </c>
      <c r="M87" s="10">
        <v>-1.00273524051771E-2</v>
      </c>
      <c r="N87" s="10">
        <f t="shared" si="6"/>
        <v>2.2049649721784998E-3</v>
      </c>
      <c r="O87" s="7">
        <v>299.01611819732858</v>
      </c>
      <c r="P87" s="13">
        <v>4764</v>
      </c>
      <c r="Q87" s="13">
        <v>47758</v>
      </c>
      <c r="R87" s="22">
        <f t="shared" si="12"/>
        <v>1.5587453482190261E-2</v>
      </c>
      <c r="S87" s="9">
        <f t="shared" si="8"/>
        <v>10.024769101595298</v>
      </c>
      <c r="T87" s="12">
        <v>148792.12044799153</v>
      </c>
    </row>
    <row r="88" spans="1:20" x14ac:dyDescent="0.45">
      <c r="A88" s="11">
        <v>40603</v>
      </c>
      <c r="B88" s="1">
        <v>0.48481114731066688</v>
      </c>
      <c r="C88">
        <f>IF(B88&lt;2,0, 1)</f>
        <v>0</v>
      </c>
      <c r="D88">
        <v>11.125</v>
      </c>
      <c r="E88" s="2">
        <v>505618198</v>
      </c>
      <c r="F88" s="17">
        <f t="shared" si="9"/>
        <v>1.9229419375675145E-2</v>
      </c>
      <c r="G88" s="18">
        <v>144.83236955766159</v>
      </c>
      <c r="H88" s="19">
        <f t="shared" si="10"/>
        <v>8.096280746727906E-2</v>
      </c>
      <c r="I88" s="20">
        <v>-2.75E-2</v>
      </c>
      <c r="J88" s="21">
        <v>127.14117965988866</v>
      </c>
      <c r="K88" s="21">
        <f t="shared" si="7"/>
        <v>5.5216358346093983</v>
      </c>
      <c r="L88" s="5">
        <f t="shared" si="11"/>
        <v>11.343974596704953</v>
      </c>
      <c r="M88" s="10">
        <v>-1.00273524051771E-2</v>
      </c>
      <c r="N88" s="10">
        <f t="shared" si="6"/>
        <v>2.2049649721784998E-3</v>
      </c>
      <c r="O88" s="7">
        <v>297.7607570735895</v>
      </c>
      <c r="P88" s="13">
        <v>5642</v>
      </c>
      <c r="Q88" s="13">
        <v>47460</v>
      </c>
      <c r="R88" s="22">
        <f t="shared" si="12"/>
        <v>2.0447655292524125E-2</v>
      </c>
      <c r="S88" s="9">
        <f t="shared" si="8"/>
        <v>8.4119106699751853</v>
      </c>
      <c r="T88" s="12">
        <v>148792.12044799153</v>
      </c>
    </row>
    <row r="89" spans="1:20" x14ac:dyDescent="0.45">
      <c r="A89" s="11">
        <v>40634</v>
      </c>
      <c r="B89" s="1">
        <v>-0.25670805668639385</v>
      </c>
      <c r="C89">
        <f>IF(B89&lt;2,0, 1)</f>
        <v>0</v>
      </c>
      <c r="D89">
        <v>10.8125</v>
      </c>
      <c r="E89" s="2">
        <v>519015939</v>
      </c>
      <c r="F89" s="17">
        <f t="shared" si="9"/>
        <v>2.6497742868028654E-2</v>
      </c>
      <c r="G89" s="18">
        <v>144.84352994975504</v>
      </c>
      <c r="H89" s="19">
        <f t="shared" si="10"/>
        <v>5.8498349035196899E-2</v>
      </c>
      <c r="I89" s="20">
        <v>-2.75E-2</v>
      </c>
      <c r="J89" s="21">
        <v>129.046284732842</v>
      </c>
      <c r="K89" s="21">
        <f t="shared" si="7"/>
        <v>7.4267409075627313</v>
      </c>
      <c r="L89" s="5">
        <f t="shared" si="11"/>
        <v>11.228514885781664</v>
      </c>
      <c r="M89" s="10">
        <v>-1.04431285972951E-2</v>
      </c>
      <c r="N89" s="10">
        <f t="shared" si="6"/>
        <v>-4.1617979083741E-3</v>
      </c>
      <c r="O89" s="7">
        <v>304.39214257467808</v>
      </c>
      <c r="P89" s="13">
        <v>5533</v>
      </c>
      <c r="Q89" s="13">
        <v>48067</v>
      </c>
      <c r="R89" s="22">
        <f t="shared" si="12"/>
        <v>3.6641649413388544E-2</v>
      </c>
      <c r="S89" s="9">
        <f t="shared" si="8"/>
        <v>8.6873305620820531</v>
      </c>
      <c r="T89" s="12">
        <v>154528.6621380205</v>
      </c>
    </row>
    <row r="90" spans="1:20" x14ac:dyDescent="0.45">
      <c r="A90" s="11">
        <v>40664</v>
      </c>
      <c r="B90" s="1">
        <v>0.32991339986361451</v>
      </c>
      <c r="C90">
        <f>IF(B90&lt;2,0, 1)</f>
        <v>0</v>
      </c>
      <c r="D90">
        <v>11.3125</v>
      </c>
      <c r="E90" s="2">
        <v>529686606</v>
      </c>
      <c r="F90" s="17">
        <f t="shared" si="9"/>
        <v>2.0559420623111151E-2</v>
      </c>
      <c r="G90" s="18">
        <v>147.20758157969578</v>
      </c>
      <c r="H90" s="19">
        <f t="shared" si="10"/>
        <v>5.7975909593546093E-2</v>
      </c>
      <c r="I90" s="20">
        <v>-2.75E-2</v>
      </c>
      <c r="J90" s="21">
        <v>126.29846607850229</v>
      </c>
      <c r="K90" s="21">
        <f t="shared" si="7"/>
        <v>4.6789222532230212</v>
      </c>
      <c r="L90" s="5">
        <f t="shared" si="11"/>
        <v>5.7243058506523283</v>
      </c>
      <c r="M90" s="10">
        <v>-1.04431285972951E-2</v>
      </c>
      <c r="N90" s="10">
        <f t="shared" si="6"/>
        <v>-4.1617979083741E-3</v>
      </c>
      <c r="O90" s="7">
        <v>300.80296475392822</v>
      </c>
      <c r="P90" s="13">
        <v>6490</v>
      </c>
      <c r="Q90" s="13">
        <v>49000</v>
      </c>
      <c r="R90" s="22">
        <f t="shared" si="12"/>
        <v>5.2744655709528354E-2</v>
      </c>
      <c r="S90" s="9">
        <f t="shared" si="8"/>
        <v>7.5500770416024654</v>
      </c>
      <c r="T90" s="12">
        <v>154528.6621380205</v>
      </c>
    </row>
    <row r="91" spans="1:20" x14ac:dyDescent="0.45">
      <c r="A91" s="11">
        <v>40695</v>
      </c>
      <c r="B91" s="1">
        <v>0.28056920639890609</v>
      </c>
      <c r="C91">
        <f>IF(B91&lt;2,0, 1)</f>
        <v>0</v>
      </c>
      <c r="D91">
        <v>11.4375</v>
      </c>
      <c r="E91" s="2">
        <v>546129955</v>
      </c>
      <c r="F91" s="17">
        <f t="shared" si="9"/>
        <v>3.1043543132370614E-2</v>
      </c>
      <c r="G91" s="18">
        <v>146.80711682053547</v>
      </c>
      <c r="H91" s="19">
        <f t="shared" si="10"/>
        <v>4.4357613542973157E-2</v>
      </c>
      <c r="I91" s="20">
        <v>-2.75E-2</v>
      </c>
      <c r="J91" s="21">
        <v>126.13595542917275</v>
      </c>
      <c r="K91" s="21">
        <f t="shared" si="7"/>
        <v>4.5164116038934878</v>
      </c>
      <c r="L91" s="5">
        <f t="shared" si="11"/>
        <v>4.9599643304597691</v>
      </c>
      <c r="M91" s="10">
        <v>-1.04431285972951E-2</v>
      </c>
      <c r="N91" s="10">
        <f t="shared" si="6"/>
        <v>-4.1617979083741E-3</v>
      </c>
      <c r="O91" s="7">
        <v>302.04584324114711</v>
      </c>
      <c r="P91" s="13">
        <v>6705</v>
      </c>
      <c r="Q91" s="13">
        <v>49240</v>
      </c>
      <c r="R91" s="22">
        <f t="shared" si="12"/>
        <v>6.9830096032677202E-2</v>
      </c>
      <c r="S91" s="9">
        <f t="shared" si="8"/>
        <v>7.3437733035048467</v>
      </c>
      <c r="T91" s="12">
        <v>154528.6621380205</v>
      </c>
    </row>
    <row r="92" spans="1:20" x14ac:dyDescent="0.45">
      <c r="A92" s="11">
        <v>40725</v>
      </c>
      <c r="B92" s="1">
        <v>0.3891167118810589</v>
      </c>
      <c r="C92">
        <f>IF(B92&lt;2,0, 1)</f>
        <v>0</v>
      </c>
      <c r="D92">
        <v>12</v>
      </c>
      <c r="E92" s="2">
        <v>557443345</v>
      </c>
      <c r="F92" s="17">
        <f t="shared" si="9"/>
        <v>2.0715563935693657E-2</v>
      </c>
      <c r="G92" s="18">
        <v>147.1133580426548</v>
      </c>
      <c r="H92" s="19">
        <f t="shared" si="10"/>
        <v>5.5238630756248908E-2</v>
      </c>
      <c r="I92" s="20">
        <v>-2.75E-2</v>
      </c>
      <c r="J92" s="21">
        <v>125.92531504252899</v>
      </c>
      <c r="K92" s="21">
        <f t="shared" si="7"/>
        <v>4.3057712172497276</v>
      </c>
      <c r="L92" s="5">
        <f t="shared" si="11"/>
        <v>6.9117673822902361</v>
      </c>
      <c r="M92" s="10">
        <v>-8.9778520277820004E-3</v>
      </c>
      <c r="N92" s="10">
        <f t="shared" si="6"/>
        <v>-4.5092972929795996E-3</v>
      </c>
      <c r="O92" s="7">
        <v>302.04120233319679</v>
      </c>
      <c r="P92" s="13">
        <v>6859</v>
      </c>
      <c r="Q92" s="13">
        <v>51073</v>
      </c>
      <c r="R92" s="22">
        <f t="shared" si="12"/>
        <v>0.10914934740591131</v>
      </c>
      <c r="S92" s="9">
        <f t="shared" si="8"/>
        <v>7.4461291733488846</v>
      </c>
      <c r="T92" s="12">
        <v>155737.79220345305</v>
      </c>
    </row>
    <row r="93" spans="1:20" x14ac:dyDescent="0.45">
      <c r="A93" s="11">
        <v>40756</v>
      </c>
      <c r="B93" s="1">
        <v>1.2200253793559273</v>
      </c>
      <c r="C93">
        <f>IF(B93&lt;2,0, 1)</f>
        <v>0</v>
      </c>
      <c r="D93">
        <v>12.625</v>
      </c>
      <c r="E93" s="2">
        <v>566753057</v>
      </c>
      <c r="F93" s="17">
        <f t="shared" si="9"/>
        <v>1.6700732161400188E-2</v>
      </c>
      <c r="G93" s="18">
        <v>146.99405292403654</v>
      </c>
      <c r="H93" s="19">
        <f t="shared" si="10"/>
        <v>4.9724249372522948E-2</v>
      </c>
      <c r="I93" s="20">
        <v>-2.75E-2</v>
      </c>
      <c r="J93" s="21">
        <v>123.52278515524311</v>
      </c>
      <c r="K93" s="21">
        <f t="shared" si="7"/>
        <v>1.9032413299638478</v>
      </c>
      <c r="L93" s="5">
        <f t="shared" si="11"/>
        <v>5.6824647258799246</v>
      </c>
      <c r="M93" s="10">
        <v>-8.9778520277820004E-3</v>
      </c>
      <c r="N93" s="10">
        <f t="shared" si="6"/>
        <v>-4.5092972929795996E-3</v>
      </c>
      <c r="O93" s="7">
        <v>301.48659749898599</v>
      </c>
      <c r="P93" s="13">
        <v>7671</v>
      </c>
      <c r="Q93" s="13">
        <v>50348</v>
      </c>
      <c r="R93" s="22">
        <f t="shared" si="12"/>
        <v>0.11832256058283908</v>
      </c>
      <c r="S93" s="9">
        <f t="shared" si="8"/>
        <v>6.5634206752704989</v>
      </c>
      <c r="T93" s="12">
        <v>155737.79220345305</v>
      </c>
    </row>
    <row r="94" spans="1:20" x14ac:dyDescent="0.45">
      <c r="A94" s="11">
        <v>40787</v>
      </c>
      <c r="B94" s="1">
        <v>1.1486055564265039</v>
      </c>
      <c r="C94">
        <f>IF(B94&lt;2,0, 1)</f>
        <v>0</v>
      </c>
      <c r="D94">
        <v>14</v>
      </c>
      <c r="E94" s="2">
        <v>574425660</v>
      </c>
      <c r="F94" s="17">
        <f t="shared" si="9"/>
        <v>1.3537823758046356E-2</v>
      </c>
      <c r="G94" s="18">
        <v>148.31320031297113</v>
      </c>
      <c r="H94" s="19">
        <f t="shared" si="10"/>
        <v>6.3617538264157864E-2</v>
      </c>
      <c r="I94" s="20">
        <v>-2.75E-2</v>
      </c>
      <c r="J94" s="21">
        <v>111.06506231892988</v>
      </c>
      <c r="K94" s="21">
        <f t="shared" si="7"/>
        <v>-10.55448150634939</v>
      </c>
      <c r="L94" s="5">
        <f t="shared" si="11"/>
        <v>8.7277167403003091</v>
      </c>
      <c r="M94" s="10">
        <v>-8.9778520277820004E-3</v>
      </c>
      <c r="N94" s="10">
        <f t="shared" si="6"/>
        <v>-4.5092972929795996E-3</v>
      </c>
      <c r="O94" s="7">
        <v>295.21441046410001</v>
      </c>
      <c r="P94" s="13">
        <v>6889</v>
      </c>
      <c r="Q94" s="13">
        <v>51125</v>
      </c>
      <c r="R94" s="22">
        <f t="shared" si="12"/>
        <v>0.12739260827379373</v>
      </c>
      <c r="S94" s="9">
        <f t="shared" si="8"/>
        <v>7.4212512701408038</v>
      </c>
      <c r="T94" s="12">
        <v>155737.79220345305</v>
      </c>
    </row>
    <row r="95" spans="1:20" x14ac:dyDescent="0.45">
      <c r="A95" s="11">
        <v>40817</v>
      </c>
      <c r="B95" s="1">
        <v>3.3181696710798483</v>
      </c>
      <c r="C95">
        <f>IF(B95&lt;2,0, 1)</f>
        <v>1</v>
      </c>
      <c r="D95">
        <v>20.0625</v>
      </c>
      <c r="E95" s="2">
        <v>575827944</v>
      </c>
      <c r="F95" s="17">
        <f t="shared" si="9"/>
        <v>2.4411931737172046E-3</v>
      </c>
      <c r="G95" s="18">
        <v>147.30359939848898</v>
      </c>
      <c r="H95" s="19">
        <f t="shared" si="10"/>
        <v>5.0977099657398377E-2</v>
      </c>
      <c r="I95" s="20">
        <v>-2.75E-2</v>
      </c>
      <c r="J95" s="21">
        <v>116.79928758057861</v>
      </c>
      <c r="K95" s="21">
        <f t="shared" si="7"/>
        <v>-4.8202562447006585</v>
      </c>
      <c r="L95" s="5">
        <f t="shared" si="11"/>
        <v>5.6565696407669748</v>
      </c>
      <c r="M95" s="10">
        <v>-9.0695569622911993E-3</v>
      </c>
      <c r="N95" s="10">
        <f t="shared" si="6"/>
        <v>-8.4401199127908007E-3</v>
      </c>
      <c r="O95" s="7">
        <v>272.06737089479628</v>
      </c>
      <c r="P95" s="13">
        <v>6303</v>
      </c>
      <c r="Q95" s="13">
        <v>51918</v>
      </c>
      <c r="R95" s="22">
        <f t="shared" si="12"/>
        <v>0.12189640642219679</v>
      </c>
      <c r="S95" s="9">
        <f t="shared" si="8"/>
        <v>8.2370299857210849</v>
      </c>
      <c r="T95" s="12">
        <v>156299.88006674714</v>
      </c>
    </row>
    <row r="96" spans="1:20" x14ac:dyDescent="0.45">
      <c r="A96" s="11">
        <v>40848</v>
      </c>
      <c r="B96" s="1">
        <v>0.32201538973626925</v>
      </c>
      <c r="C96">
        <f>IF(B96&lt;2,0, 1)</f>
        <v>0</v>
      </c>
      <c r="D96">
        <v>18.9375</v>
      </c>
      <c r="E96" s="2">
        <v>576333312</v>
      </c>
      <c r="F96" s="17">
        <f t="shared" si="9"/>
        <v>8.7763715753259798E-4</v>
      </c>
      <c r="G96" s="18">
        <v>147.33205909312017</v>
      </c>
      <c r="H96" s="19">
        <f t="shared" si="10"/>
        <v>3.4784185312106197E-2</v>
      </c>
      <c r="I96" s="20">
        <v>-2.75E-2</v>
      </c>
      <c r="J96" s="21">
        <v>112.15320588357478</v>
      </c>
      <c r="K96" s="21">
        <f t="shared" si="7"/>
        <v>-9.4663379417044808</v>
      </c>
      <c r="L96" s="5">
        <f t="shared" si="11"/>
        <v>2.6160254135819656</v>
      </c>
      <c r="M96" s="10">
        <v>-9.0695569622911993E-3</v>
      </c>
      <c r="N96" s="10">
        <f t="shared" si="6"/>
        <v>-8.4401199127908007E-3</v>
      </c>
      <c r="O96" s="7">
        <v>268.15510912749011</v>
      </c>
      <c r="P96" s="13">
        <v>6230</v>
      </c>
      <c r="Q96" s="13">
        <v>51896</v>
      </c>
      <c r="R96" s="22">
        <f t="shared" si="12"/>
        <v>0.10248130523453436</v>
      </c>
      <c r="S96" s="9">
        <f t="shared" si="8"/>
        <v>8.3300160513643657</v>
      </c>
      <c r="T96" s="12">
        <v>156299.88006674714</v>
      </c>
    </row>
    <row r="97" spans="1:20" x14ac:dyDescent="0.45">
      <c r="A97" s="11">
        <v>40878</v>
      </c>
      <c r="B97" s="1">
        <v>-0.6093843037096095</v>
      </c>
      <c r="C97">
        <f>IF(B97&lt;2,0, 1)</f>
        <v>0</v>
      </c>
      <c r="D97">
        <v>17.1875</v>
      </c>
      <c r="E97" s="2">
        <v>605084446</v>
      </c>
      <c r="F97" s="17">
        <f t="shared" si="9"/>
        <v>4.9886295658023667E-2</v>
      </c>
      <c r="G97" s="18">
        <v>147.83412628881183</v>
      </c>
      <c r="H97" s="19">
        <f t="shared" si="10"/>
        <v>4.1284396545101812E-2</v>
      </c>
      <c r="I97" s="20">
        <v>-2.75E-2</v>
      </c>
      <c r="J97" s="21">
        <v>109.07962938444042</v>
      </c>
      <c r="K97" s="21">
        <f t="shared" si="7"/>
        <v>-12.539914440838842</v>
      </c>
      <c r="L97" s="5">
        <f t="shared" si="11"/>
        <v>3.8411186280645921</v>
      </c>
      <c r="M97" s="10">
        <v>-9.0695569622911993E-3</v>
      </c>
      <c r="N97" s="10">
        <f t="shared" si="6"/>
        <v>-8.4401199127908007E-3</v>
      </c>
      <c r="O97" s="7">
        <v>263.28403255895739</v>
      </c>
      <c r="P97" s="13">
        <v>5987</v>
      </c>
      <c r="Q97" s="13">
        <v>52145</v>
      </c>
      <c r="R97" s="22">
        <f t="shared" si="12"/>
        <v>8.7101548981591614E-2</v>
      </c>
      <c r="S97" s="9">
        <f t="shared" si="8"/>
        <v>8.7097043594454657</v>
      </c>
      <c r="T97" s="12">
        <v>156299.88006674714</v>
      </c>
    </row>
    <row r="98" spans="1:20" x14ac:dyDescent="0.45">
      <c r="A98" s="11">
        <v>40909</v>
      </c>
      <c r="B98" s="1">
        <v>-0.68373565543497117</v>
      </c>
      <c r="C98">
        <f>IF(B98&lt;2,0, 1)</f>
        <v>0</v>
      </c>
      <c r="D98">
        <v>15.0625</v>
      </c>
      <c r="E98" s="2">
        <v>612704443</v>
      </c>
      <c r="F98" s="17">
        <f t="shared" si="9"/>
        <v>1.2593278591728997E-2</v>
      </c>
      <c r="G98" s="18">
        <v>147.62132949207489</v>
      </c>
      <c r="H98" s="19">
        <f t="shared" si="10"/>
        <v>1.3011679993454156E-2</v>
      </c>
      <c r="I98" s="20">
        <v>-3.0200000000000001E-2</v>
      </c>
      <c r="J98" s="21">
        <v>112.72210803715741</v>
      </c>
      <c r="K98" s="21">
        <f t="shared" si="7"/>
        <v>-8.8974357881218538</v>
      </c>
      <c r="L98" s="5">
        <f t="shared" si="11"/>
        <v>4.255539056804821</v>
      </c>
      <c r="M98" s="10">
        <v>-6.1517620841352004E-3</v>
      </c>
      <c r="N98" s="10">
        <f t="shared" si="6"/>
        <v>-1.00273524051771E-2</v>
      </c>
      <c r="O98" s="7">
        <v>276.41117996800108</v>
      </c>
      <c r="P98" s="13">
        <v>5364</v>
      </c>
      <c r="Q98" s="13">
        <v>52618</v>
      </c>
      <c r="R98" s="22">
        <f t="shared" si="12"/>
        <v>9.3270169752124543E-2</v>
      </c>
      <c r="S98" s="9">
        <f t="shared" si="8"/>
        <v>9.8094705443698729</v>
      </c>
      <c r="T98" s="12">
        <v>158565.24927577426</v>
      </c>
    </row>
    <row r="99" spans="1:20" x14ac:dyDescent="0.45">
      <c r="A99" s="11">
        <v>40940</v>
      </c>
      <c r="B99" s="1">
        <v>-0.5991812751784138</v>
      </c>
      <c r="C99">
        <f>IF(B99&lt;2,0, 1)</f>
        <v>0</v>
      </c>
      <c r="D99">
        <v>13.5</v>
      </c>
      <c r="E99" s="2">
        <v>620222738</v>
      </c>
      <c r="F99" s="17">
        <f t="shared" si="9"/>
        <v>1.2270671587083627E-2</v>
      </c>
      <c r="G99" s="18">
        <v>144.67947854413899</v>
      </c>
      <c r="H99" s="19">
        <f t="shared" si="10"/>
        <v>5.3393870212008867E-3</v>
      </c>
      <c r="I99" s="20">
        <v>-3.0200000000000001E-2</v>
      </c>
      <c r="J99" s="21">
        <v>113.88433639653816</v>
      </c>
      <c r="K99" s="21">
        <f t="shared" si="7"/>
        <v>-7.7352074287411057</v>
      </c>
      <c r="L99" s="5">
        <f t="shared" si="11"/>
        <v>5.4695595331849063</v>
      </c>
      <c r="M99" s="10">
        <v>-6.1517620841352004E-3</v>
      </c>
      <c r="N99" s="10">
        <f t="shared" si="6"/>
        <v>-1.00273524051771E-2</v>
      </c>
      <c r="O99" s="7">
        <v>289.09840468805811</v>
      </c>
      <c r="P99" s="13">
        <v>4725</v>
      </c>
      <c r="Q99" s="13">
        <v>52318</v>
      </c>
      <c r="R99" s="22">
        <f t="shared" si="12"/>
        <v>9.5481385317643053E-2</v>
      </c>
      <c r="S99" s="9">
        <f t="shared" si="8"/>
        <v>11.072592592592592</v>
      </c>
      <c r="T99" s="12">
        <v>158565.24927577426</v>
      </c>
    </row>
    <row r="100" spans="1:20" x14ac:dyDescent="0.45">
      <c r="A100" s="11">
        <v>40969</v>
      </c>
      <c r="B100" s="1">
        <v>-0.71732018886224858</v>
      </c>
      <c r="C100">
        <f>IF(B100&lt;2,0, 1)</f>
        <v>0</v>
      </c>
      <c r="D100">
        <v>12.25</v>
      </c>
      <c r="E100" s="2">
        <v>629668886</v>
      </c>
      <c r="F100" s="17">
        <f t="shared" si="9"/>
        <v>1.5230251039264543E-2</v>
      </c>
      <c r="G100" s="18">
        <v>145.38699764166117</v>
      </c>
      <c r="H100" s="19">
        <f t="shared" si="10"/>
        <v>3.8294483870800885E-3</v>
      </c>
      <c r="I100" s="20">
        <v>-3.0200000000000001E-2</v>
      </c>
      <c r="J100" s="21">
        <v>108.26377702575216</v>
      </c>
      <c r="K100" s="21">
        <f t="shared" si="7"/>
        <v>-13.355766799527103</v>
      </c>
      <c r="L100" s="5">
        <f t="shared" si="11"/>
        <v>5.5216358346093983</v>
      </c>
      <c r="M100" s="10">
        <v>-6.1517620841352004E-3</v>
      </c>
      <c r="N100" s="10">
        <f t="shared" si="6"/>
        <v>-1.00273524051771E-2</v>
      </c>
      <c r="O100" s="7">
        <v>303.07815643258812</v>
      </c>
      <c r="P100" s="13">
        <v>5147</v>
      </c>
      <c r="Q100" s="13">
        <v>51298</v>
      </c>
      <c r="R100" s="22">
        <f t="shared" si="12"/>
        <v>8.0868099452170217E-2</v>
      </c>
      <c r="S100" s="9">
        <f t="shared" si="8"/>
        <v>9.9665824752282877</v>
      </c>
      <c r="T100" s="12">
        <v>158565.24927577426</v>
      </c>
    </row>
    <row r="101" spans="1:20" x14ac:dyDescent="0.45">
      <c r="A101" s="11">
        <v>41000</v>
      </c>
      <c r="B101" s="1">
        <v>-0.31389271878039438</v>
      </c>
      <c r="C101">
        <f>IF(B101&lt;2,0, 1)</f>
        <v>0</v>
      </c>
      <c r="D101">
        <v>11.75</v>
      </c>
      <c r="E101" s="2">
        <v>640944016</v>
      </c>
      <c r="F101" s="17">
        <f t="shared" si="9"/>
        <v>1.7906442974538209E-2</v>
      </c>
      <c r="G101" s="18">
        <v>141.74814398462377</v>
      </c>
      <c r="H101" s="19">
        <f t="shared" si="10"/>
        <v>-2.1370550456793161E-2</v>
      </c>
      <c r="I101" s="20">
        <v>-3.0200000000000001E-2</v>
      </c>
      <c r="J101" s="21">
        <v>106.07109848424845</v>
      </c>
      <c r="K101" s="21">
        <f t="shared" si="7"/>
        <v>-15.548445341030813</v>
      </c>
      <c r="L101" s="5">
        <f t="shared" si="11"/>
        <v>7.4267409075627313</v>
      </c>
      <c r="M101" s="10">
        <v>-3.8989007399673E-3</v>
      </c>
      <c r="N101" s="10">
        <f t="shared" si="6"/>
        <v>-1.04431285972951E-2</v>
      </c>
      <c r="O101" s="7">
        <v>309.66729522453983</v>
      </c>
      <c r="P101" s="13">
        <v>4770</v>
      </c>
      <c r="Q101" s="13">
        <v>52011</v>
      </c>
      <c r="R101" s="22">
        <f t="shared" si="12"/>
        <v>8.2052135560779726E-2</v>
      </c>
      <c r="S101" s="9">
        <f t="shared" si="8"/>
        <v>10.903773584905661</v>
      </c>
      <c r="T101" s="12">
        <v>159405.28016602923</v>
      </c>
    </row>
    <row r="102" spans="1:20" x14ac:dyDescent="0.45">
      <c r="A102" s="11">
        <v>41030</v>
      </c>
      <c r="B102" s="1">
        <v>0.56091359718293621</v>
      </c>
      <c r="C102">
        <f>IF(B102&lt;2,0, 1)</f>
        <v>0</v>
      </c>
      <c r="D102">
        <v>11.75</v>
      </c>
      <c r="E102" s="2">
        <v>655401436</v>
      </c>
      <c r="F102" s="17">
        <f t="shared" si="9"/>
        <v>2.2556447426135266E-2</v>
      </c>
      <c r="G102" s="18">
        <v>140.43543886171551</v>
      </c>
      <c r="H102" s="19">
        <f t="shared" si="10"/>
        <v>-4.6004034882632355E-2</v>
      </c>
      <c r="I102" s="20">
        <v>-3.0200000000000001E-2</v>
      </c>
      <c r="J102" s="21">
        <v>100.24824028103976</v>
      </c>
      <c r="K102" s="21">
        <f t="shared" si="7"/>
        <v>-21.37130354423951</v>
      </c>
      <c r="L102" s="5">
        <f t="shared" si="11"/>
        <v>4.6789222532230212</v>
      </c>
      <c r="M102" s="10">
        <v>-3.8989007399673E-3</v>
      </c>
      <c r="N102" s="10">
        <f t="shared" si="6"/>
        <v>-1.04431285972951E-2</v>
      </c>
      <c r="O102" s="7">
        <v>305.72203532948629</v>
      </c>
      <c r="P102" s="13">
        <v>5987</v>
      </c>
      <c r="Q102" s="13">
        <v>52060</v>
      </c>
      <c r="R102" s="22">
        <f t="shared" si="12"/>
        <v>6.2448979591836817E-2</v>
      </c>
      <c r="S102" s="9">
        <f t="shared" si="8"/>
        <v>8.6955069316853191</v>
      </c>
      <c r="T102" s="12">
        <v>159405.28016602923</v>
      </c>
    </row>
    <row r="103" spans="1:20" x14ac:dyDescent="0.45">
      <c r="A103" s="11">
        <v>41061</v>
      </c>
      <c r="B103" s="1">
        <v>1.504881833156551</v>
      </c>
      <c r="C103">
        <f>IF(B103&lt;2,0, 1)</f>
        <v>0</v>
      </c>
      <c r="D103">
        <v>13.625</v>
      </c>
      <c r="E103" s="2">
        <v>669965547</v>
      </c>
      <c r="F103" s="17">
        <f t="shared" si="9"/>
        <v>2.2221664769132426E-2</v>
      </c>
      <c r="G103" s="18">
        <v>140.7868146878196</v>
      </c>
      <c r="H103" s="19">
        <f t="shared" si="10"/>
        <v>-4.1008244444139551E-2</v>
      </c>
      <c r="I103" s="20">
        <v>-3.0200000000000001E-2</v>
      </c>
      <c r="J103" s="21">
        <v>101.0291066475769</v>
      </c>
      <c r="K103" s="21">
        <f t="shared" si="7"/>
        <v>-20.59043717770237</v>
      </c>
      <c r="L103" s="5">
        <f t="shared" si="11"/>
        <v>4.5164116038934878</v>
      </c>
      <c r="M103" s="10">
        <v>-3.8989007399673E-3</v>
      </c>
      <c r="N103" s="10">
        <f t="shared" si="6"/>
        <v>-1.04431285972951E-2</v>
      </c>
      <c r="O103" s="7">
        <v>304.96937389213912</v>
      </c>
      <c r="P103" s="13">
        <v>6034</v>
      </c>
      <c r="Q103" s="13">
        <v>51695</v>
      </c>
      <c r="R103" s="22">
        <f t="shared" si="12"/>
        <v>4.9857839155158512E-2</v>
      </c>
      <c r="S103" s="9">
        <f t="shared" si="8"/>
        <v>8.5672853828306259</v>
      </c>
      <c r="T103" s="12">
        <v>159405.28016602923</v>
      </c>
    </row>
    <row r="104" spans="1:20" x14ac:dyDescent="0.45">
      <c r="A104" s="11">
        <v>41091</v>
      </c>
      <c r="B104" s="1">
        <v>-3.0061649926384701E-3</v>
      </c>
      <c r="C104">
        <f>IF(B104&lt;2,0, 1)</f>
        <v>0</v>
      </c>
      <c r="D104">
        <v>13.5</v>
      </c>
      <c r="E104" s="2">
        <v>688926810</v>
      </c>
      <c r="F104" s="17">
        <f t="shared" si="9"/>
        <v>2.8301847885918229E-2</v>
      </c>
      <c r="G104" s="18">
        <v>144.84954023177039</v>
      </c>
      <c r="H104" s="19">
        <f t="shared" si="10"/>
        <v>-1.5388254615383205E-2</v>
      </c>
      <c r="I104" s="20">
        <v>-3.0200000000000001E-2</v>
      </c>
      <c r="J104" s="21">
        <v>100.07832984318354</v>
      </c>
      <c r="K104" s="21">
        <f t="shared" si="7"/>
        <v>-21.541213982095726</v>
      </c>
      <c r="L104" s="5">
        <f t="shared" si="11"/>
        <v>4.3057712172497276</v>
      </c>
      <c r="M104" s="10">
        <v>-7.3444198106746E-3</v>
      </c>
      <c r="N104" s="10">
        <f t="shared" si="6"/>
        <v>-8.9778520277820004E-3</v>
      </c>
      <c r="O104" s="7">
        <v>341.39350208330728</v>
      </c>
      <c r="P104" s="13">
        <v>6345</v>
      </c>
      <c r="Q104" s="13">
        <v>51923</v>
      </c>
      <c r="R104" s="22">
        <f t="shared" si="12"/>
        <v>1.6642844555831759E-2</v>
      </c>
      <c r="S104" s="9">
        <f t="shared" si="8"/>
        <v>8.1832939322301019</v>
      </c>
      <c r="T104" s="12">
        <v>157647.57253101471</v>
      </c>
    </row>
    <row r="105" spans="1:20" x14ac:dyDescent="0.45">
      <c r="A105" s="11">
        <v>41122</v>
      </c>
      <c r="B105" s="1">
        <v>1.2339803110850831</v>
      </c>
      <c r="C105">
        <f>IF(B105&lt;2,0, 1)</f>
        <v>0</v>
      </c>
      <c r="D105">
        <v>14.4375</v>
      </c>
      <c r="E105" s="2">
        <v>707277119</v>
      </c>
      <c r="F105" s="17">
        <f t="shared" si="9"/>
        <v>2.6636079092349448E-2</v>
      </c>
      <c r="G105" s="18">
        <v>144.96768542289055</v>
      </c>
      <c r="H105" s="19">
        <f t="shared" si="10"/>
        <v>-1.3785370638043215E-2</v>
      </c>
      <c r="I105" s="20">
        <v>-3.0200000000000001E-2</v>
      </c>
      <c r="J105" s="21">
        <v>100.60688549498529</v>
      </c>
      <c r="K105" s="21">
        <f t="shared" si="7"/>
        <v>-21.012658330293974</v>
      </c>
      <c r="L105" s="5">
        <f t="shared" si="11"/>
        <v>1.9032413299638478</v>
      </c>
      <c r="M105" s="10">
        <v>-7.3444198106746E-3</v>
      </c>
      <c r="N105" s="10">
        <f t="shared" si="6"/>
        <v>-8.9778520277820004E-3</v>
      </c>
      <c r="O105" s="7">
        <v>357.47187140464621</v>
      </c>
      <c r="P105" s="13">
        <v>6276</v>
      </c>
      <c r="Q105" s="13">
        <v>49990</v>
      </c>
      <c r="R105" s="22">
        <f t="shared" si="12"/>
        <v>-7.1105108445220777E-3</v>
      </c>
      <c r="S105" s="9">
        <f t="shared" si="8"/>
        <v>7.965264499681326</v>
      </c>
      <c r="T105" s="12">
        <v>157647.57253101471</v>
      </c>
    </row>
    <row r="106" spans="1:20" x14ac:dyDescent="0.45">
      <c r="A106" s="11">
        <v>41153</v>
      </c>
      <c r="B106" s="1">
        <v>0.5018449811560638</v>
      </c>
      <c r="C106">
        <f>IF(B106&lt;2,0, 1)</f>
        <v>0</v>
      </c>
      <c r="D106">
        <v>14.875</v>
      </c>
      <c r="E106" s="2">
        <v>716856424</v>
      </c>
      <c r="F106" s="17">
        <f t="shared" si="9"/>
        <v>1.3543920399325119E-2</v>
      </c>
      <c r="G106" s="18">
        <v>146.26755208317232</v>
      </c>
      <c r="H106" s="19">
        <f t="shared" si="10"/>
        <v>-1.3792759009191894E-2</v>
      </c>
      <c r="I106" s="20">
        <v>-3.0200000000000001E-2</v>
      </c>
      <c r="J106" s="21">
        <v>101.5883528431232</v>
      </c>
      <c r="K106" s="21">
        <f t="shared" si="7"/>
        <v>-20.031190982156062</v>
      </c>
      <c r="L106" s="5">
        <f t="shared" si="11"/>
        <v>-10.55448150634939</v>
      </c>
      <c r="M106" s="10">
        <v>-7.3444198106746E-3</v>
      </c>
      <c r="N106" s="10">
        <f t="shared" si="6"/>
        <v>-8.9778520277820004E-3</v>
      </c>
      <c r="O106" s="7">
        <v>353.95947825110932</v>
      </c>
      <c r="P106" s="13">
        <v>5855</v>
      </c>
      <c r="Q106" s="13">
        <v>48590</v>
      </c>
      <c r="R106" s="22">
        <f t="shared" si="12"/>
        <v>-4.9584352078239635E-2</v>
      </c>
      <c r="S106" s="9">
        <f t="shared" si="8"/>
        <v>8.2988898377455165</v>
      </c>
      <c r="T106" s="12">
        <v>157647.57253101471</v>
      </c>
    </row>
    <row r="107" spans="1:20" x14ac:dyDescent="0.45">
      <c r="A107" s="11">
        <v>41183</v>
      </c>
      <c r="B107" s="1">
        <v>0.2439531577525676</v>
      </c>
      <c r="C107">
        <f>IF(B107&lt;2,0, 1)</f>
        <v>0</v>
      </c>
      <c r="D107">
        <v>14.875</v>
      </c>
      <c r="E107" s="2">
        <v>732458971</v>
      </c>
      <c r="F107" s="17">
        <f t="shared" si="9"/>
        <v>2.1765232866211993E-2</v>
      </c>
      <c r="G107" s="18">
        <v>147.15454762946564</v>
      </c>
      <c r="H107" s="19">
        <f t="shared" si="10"/>
        <v>-1.0118677997821793E-3</v>
      </c>
      <c r="I107" s="20">
        <v>-3.0200000000000001E-2</v>
      </c>
      <c r="J107" s="21">
        <v>101.85499645227488</v>
      </c>
      <c r="K107" s="21">
        <f t="shared" si="7"/>
        <v>-19.76454737300439</v>
      </c>
      <c r="L107" s="5">
        <f t="shared" si="11"/>
        <v>-4.8202562447006585</v>
      </c>
      <c r="M107" s="10">
        <v>-8.6847829668267006E-3</v>
      </c>
      <c r="N107" s="10">
        <f t="shared" si="6"/>
        <v>-9.0695569622911993E-3</v>
      </c>
      <c r="O107" s="7">
        <v>337.76597185484439</v>
      </c>
      <c r="P107" s="13">
        <v>6257</v>
      </c>
      <c r="Q107" s="13">
        <v>47523</v>
      </c>
      <c r="R107" s="22">
        <f t="shared" si="12"/>
        <v>-8.4652721599445258E-2</v>
      </c>
      <c r="S107" s="9">
        <f t="shared" si="8"/>
        <v>7.5951734057855198</v>
      </c>
      <c r="T107" s="12">
        <v>156478.1640256611</v>
      </c>
    </row>
    <row r="108" spans="1:20" x14ac:dyDescent="0.45">
      <c r="A108" s="11">
        <v>41214</v>
      </c>
      <c r="B108" s="1">
        <v>0.55854493922144222</v>
      </c>
      <c r="C108">
        <f>IF(B108&lt;2,0, 1)</f>
        <v>0</v>
      </c>
      <c r="D108">
        <v>15.5625</v>
      </c>
      <c r="E108" s="2">
        <v>755282809</v>
      </c>
      <c r="F108" s="17">
        <f t="shared" si="9"/>
        <v>3.1160568582891998E-2</v>
      </c>
      <c r="G108" s="18">
        <v>147.00198087089771</v>
      </c>
      <c r="H108" s="19">
        <f t="shared" si="10"/>
        <v>-2.2403693008446351E-3</v>
      </c>
      <c r="I108" s="20">
        <v>-3.0200000000000001E-2</v>
      </c>
      <c r="J108" s="21">
        <v>99.97290427276323</v>
      </c>
      <c r="K108" s="21">
        <f t="shared" si="7"/>
        <v>-21.646639552516035</v>
      </c>
      <c r="L108" s="5">
        <f t="shared" si="11"/>
        <v>-9.4663379417044808</v>
      </c>
      <c r="M108" s="10">
        <v>-8.6847829668267006E-3</v>
      </c>
      <c r="N108" s="10">
        <f t="shared" si="6"/>
        <v>-9.0695569622911993E-3</v>
      </c>
      <c r="O108" s="7">
        <v>326.52427718920018</v>
      </c>
      <c r="P108" s="13">
        <v>5779</v>
      </c>
      <c r="Q108" s="13">
        <v>46062</v>
      </c>
      <c r="R108" s="22">
        <f t="shared" si="12"/>
        <v>-0.11241714197626018</v>
      </c>
      <c r="S108" s="9">
        <f t="shared" si="8"/>
        <v>7.9705831458729888</v>
      </c>
      <c r="T108" s="12">
        <v>156478.1640256611</v>
      </c>
    </row>
    <row r="109" spans="1:20" x14ac:dyDescent="0.45">
      <c r="A109" s="11">
        <v>41244</v>
      </c>
      <c r="B109" s="1">
        <v>1.0105566639458634</v>
      </c>
      <c r="C109">
        <f>IF(B109&lt;2,0, 1)</f>
        <v>0</v>
      </c>
      <c r="D109">
        <v>15.4375</v>
      </c>
      <c r="E109" s="2">
        <v>796440454</v>
      </c>
      <c r="F109" s="17">
        <f t="shared" si="9"/>
        <v>5.4493025009390884E-2</v>
      </c>
      <c r="G109" s="18">
        <v>149.27106402560233</v>
      </c>
      <c r="H109" s="19">
        <f t="shared" si="10"/>
        <v>9.7199325545663656E-3</v>
      </c>
      <c r="I109" s="20">
        <v>-3.0200000000000001E-2</v>
      </c>
      <c r="J109" s="21">
        <v>102.21381476162455</v>
      </c>
      <c r="K109" s="21">
        <f t="shared" si="7"/>
        <v>-19.405729063654718</v>
      </c>
      <c r="L109" s="5">
        <f t="shared" si="11"/>
        <v>-12.539914440838842</v>
      </c>
      <c r="M109" s="10">
        <v>-8.6847829668267006E-3</v>
      </c>
      <c r="N109" s="10">
        <f t="shared" si="6"/>
        <v>-9.0695569622911993E-3</v>
      </c>
      <c r="O109" s="7">
        <v>326.53593548068068</v>
      </c>
      <c r="P109" s="13">
        <v>5437</v>
      </c>
      <c r="Q109" s="13">
        <v>46376</v>
      </c>
      <c r="R109" s="22">
        <f t="shared" si="12"/>
        <v>-0.11063380956946978</v>
      </c>
      <c r="S109" s="9">
        <f t="shared" si="8"/>
        <v>8.5297038808166263</v>
      </c>
      <c r="T109" s="12">
        <v>156478.1640256611</v>
      </c>
    </row>
    <row r="110" spans="1:20" x14ac:dyDescent="0.45">
      <c r="A110" s="11">
        <v>41275</v>
      </c>
      <c r="B110" s="1">
        <v>0.31617652059190232</v>
      </c>
      <c r="C110">
        <f>IF(B110&lt;2,0, 1)</f>
        <v>0</v>
      </c>
      <c r="D110">
        <v>14.9375</v>
      </c>
      <c r="E110" s="2">
        <v>800772424</v>
      </c>
      <c r="F110" s="17">
        <f t="shared" si="9"/>
        <v>5.4391636917026816E-3</v>
      </c>
      <c r="G110" s="18">
        <v>146.00349931345463</v>
      </c>
      <c r="H110" s="19">
        <f t="shared" si="10"/>
        <v>-1.0959325350793027E-2</v>
      </c>
      <c r="I110" s="20">
        <v>-3.2500000000000001E-2</v>
      </c>
      <c r="J110" s="21">
        <v>103.52430039433953</v>
      </c>
      <c r="K110" s="21">
        <f t="shared" si="7"/>
        <v>-18.095243430939732</v>
      </c>
      <c r="L110" s="5">
        <f t="shared" si="11"/>
        <v>-8.8974357881218538</v>
      </c>
      <c r="M110" s="10">
        <v>-1.37059265382431E-2</v>
      </c>
      <c r="N110" s="10">
        <f t="shared" si="6"/>
        <v>-6.1517620841352004E-3</v>
      </c>
      <c r="O110" s="7">
        <v>321.76734980917013</v>
      </c>
      <c r="P110" s="13">
        <v>5358</v>
      </c>
      <c r="Q110" s="13">
        <v>46594</v>
      </c>
      <c r="R110" s="22">
        <f t="shared" si="12"/>
        <v>-0.11448553726861532</v>
      </c>
      <c r="S110" s="9">
        <f t="shared" si="8"/>
        <v>8.696155281821575</v>
      </c>
      <c r="T110" s="12">
        <v>155181.83400531486</v>
      </c>
    </row>
    <row r="111" spans="1:20" x14ac:dyDescent="0.45">
      <c r="A111" s="11">
        <v>41306</v>
      </c>
      <c r="B111" s="1">
        <v>0.15838853241612044</v>
      </c>
      <c r="C111">
        <f>IF(B111&lt;2,0, 1)</f>
        <v>0</v>
      </c>
      <c r="D111">
        <v>13.9375</v>
      </c>
      <c r="E111" s="2">
        <v>804273178</v>
      </c>
      <c r="F111" s="17">
        <f t="shared" si="9"/>
        <v>4.3717214717673642E-3</v>
      </c>
      <c r="G111" s="18">
        <v>148.66239177325906</v>
      </c>
      <c r="H111" s="19">
        <f t="shared" si="10"/>
        <v>2.7529220240484625E-2</v>
      </c>
      <c r="I111" s="20">
        <v>-3.2500000000000001E-2</v>
      </c>
      <c r="J111" s="21">
        <v>103.17429269330609</v>
      </c>
      <c r="K111" s="21">
        <f t="shared" si="7"/>
        <v>-18.44525113197318</v>
      </c>
      <c r="L111" s="5">
        <f t="shared" si="11"/>
        <v>-7.7352074287411057</v>
      </c>
      <c r="M111" s="10">
        <v>-1.37059265382431E-2</v>
      </c>
      <c r="N111" s="10">
        <f t="shared" si="6"/>
        <v>-6.1517620841352004E-3</v>
      </c>
      <c r="O111" s="7">
        <v>322.94423148040642</v>
      </c>
      <c r="P111" s="13">
        <v>5175</v>
      </c>
      <c r="Q111" s="13">
        <v>46668</v>
      </c>
      <c r="R111" s="22">
        <f t="shared" si="12"/>
        <v>-0.10799342482510799</v>
      </c>
      <c r="S111" s="9">
        <f t="shared" si="8"/>
        <v>9.017971014492753</v>
      </c>
      <c r="T111" s="12">
        <v>155181.83400531486</v>
      </c>
    </row>
    <row r="112" spans="1:20" x14ac:dyDescent="0.45">
      <c r="A112" s="11">
        <v>41334</v>
      </c>
      <c r="B112" s="1">
        <v>1.1955213423839943</v>
      </c>
      <c r="C112">
        <f>IF(B112&lt;2,0, 1)</f>
        <v>0</v>
      </c>
      <c r="D112">
        <v>14.875</v>
      </c>
      <c r="E112" s="2">
        <v>811437674</v>
      </c>
      <c r="F112" s="17">
        <f t="shared" si="9"/>
        <v>8.9080379602066006E-3</v>
      </c>
      <c r="G112" s="18">
        <v>148.68517479780363</v>
      </c>
      <c r="H112" s="19">
        <f t="shared" si="10"/>
        <v>2.2685502896700259E-2</v>
      </c>
      <c r="I112" s="20">
        <v>-3.2500000000000001E-2</v>
      </c>
      <c r="J112" s="21">
        <v>101.74773344484183</v>
      </c>
      <c r="K112" s="21">
        <f t="shared" si="7"/>
        <v>-19.871810380437438</v>
      </c>
      <c r="L112" s="5">
        <f t="shared" si="11"/>
        <v>-13.355766799527103</v>
      </c>
      <c r="M112" s="10">
        <v>-1.37059265382431E-2</v>
      </c>
      <c r="N112" s="10">
        <f t="shared" ref="N112:N175" si="13">M100</f>
        <v>-6.1517620841352004E-3</v>
      </c>
      <c r="O112" s="7">
        <v>317.68971629098962</v>
      </c>
      <c r="P112" s="13">
        <v>5619</v>
      </c>
      <c r="Q112" s="13">
        <v>47291</v>
      </c>
      <c r="R112" s="22">
        <f t="shared" si="12"/>
        <v>-7.8112207103590792E-2</v>
      </c>
      <c r="S112" s="9">
        <f t="shared" si="8"/>
        <v>8.4162662395444023</v>
      </c>
      <c r="T112" s="12">
        <v>155181.83400531486</v>
      </c>
    </row>
    <row r="113" spans="1:20" x14ac:dyDescent="0.45">
      <c r="A113" s="11">
        <v>41365</v>
      </c>
      <c r="B113" s="1">
        <v>0.78438289116701809</v>
      </c>
      <c r="C113">
        <f>IF(B113&lt;2,0, 1)</f>
        <v>0</v>
      </c>
      <c r="D113">
        <v>15.3125</v>
      </c>
      <c r="E113" s="2">
        <v>822609888</v>
      </c>
      <c r="F113" s="17">
        <f t="shared" si="9"/>
        <v>1.376841913800517E-2</v>
      </c>
      <c r="G113" s="18">
        <v>148.63548302428225</v>
      </c>
      <c r="H113" s="19">
        <f t="shared" si="10"/>
        <v>4.858856593145653E-2</v>
      </c>
      <c r="I113" s="20">
        <v>-3.2500000000000001E-2</v>
      </c>
      <c r="J113" s="21">
        <v>102.34807513172575</v>
      </c>
      <c r="K113" s="21">
        <f t="shared" si="7"/>
        <v>-19.271468693553516</v>
      </c>
      <c r="L113" s="5">
        <f t="shared" si="11"/>
        <v>-15.548445341030813</v>
      </c>
      <c r="M113" s="10">
        <v>-2.1864678364264301E-2</v>
      </c>
      <c r="N113" s="10">
        <f t="shared" si="13"/>
        <v>-3.8989007399673E-3</v>
      </c>
      <c r="O113" s="7">
        <v>303.513014522052</v>
      </c>
      <c r="P113" s="13">
        <v>6193</v>
      </c>
      <c r="Q113" s="13">
        <v>47844</v>
      </c>
      <c r="R113" s="22">
        <f t="shared" si="12"/>
        <v>-8.0117667416508054E-2</v>
      </c>
      <c r="S113" s="9">
        <f t="shared" si="8"/>
        <v>7.7254965283384465</v>
      </c>
      <c r="T113" s="12">
        <v>153754.17174410133</v>
      </c>
    </row>
    <row r="114" spans="1:20" x14ac:dyDescent="0.45">
      <c r="A114" s="11">
        <v>41395</v>
      </c>
      <c r="B114" s="1">
        <v>1.3314399019484895</v>
      </c>
      <c r="C114">
        <f>IF(B114&lt;2,0, 1)</f>
        <v>0</v>
      </c>
      <c r="D114">
        <v>16.625</v>
      </c>
      <c r="E114" s="2">
        <v>838110451.09000003</v>
      </c>
      <c r="F114" s="17">
        <f t="shared" si="9"/>
        <v>1.8843151919418738E-2</v>
      </c>
      <c r="G114" s="18">
        <v>148.31908144356859</v>
      </c>
      <c r="H114" s="19">
        <f t="shared" si="10"/>
        <v>5.613713066839187E-2</v>
      </c>
      <c r="I114" s="20">
        <v>-3.2500000000000001E-2</v>
      </c>
      <c r="J114" s="21">
        <v>99.202459823628004</v>
      </c>
      <c r="K114" s="21">
        <f t="shared" si="7"/>
        <v>-22.417084001651261</v>
      </c>
      <c r="L114" s="5">
        <f t="shared" si="11"/>
        <v>-21.37130354423951</v>
      </c>
      <c r="M114" s="10">
        <v>-2.1864678364264301E-2</v>
      </c>
      <c r="N114" s="10">
        <f t="shared" si="13"/>
        <v>-3.8989007399673E-3</v>
      </c>
      <c r="O114" s="7">
        <v>312.81071574910987</v>
      </c>
      <c r="P114" s="13">
        <v>7028</v>
      </c>
      <c r="Q114" s="13">
        <v>46978</v>
      </c>
      <c r="R114" s="22">
        <f t="shared" si="12"/>
        <v>-9.7618132923549705E-2</v>
      </c>
      <c r="S114" s="9">
        <f t="shared" si="8"/>
        <v>6.6844052361980646</v>
      </c>
      <c r="T114" s="12">
        <v>153754.17174410133</v>
      </c>
    </row>
    <row r="115" spans="1:20" x14ac:dyDescent="0.45">
      <c r="A115" s="11">
        <v>41426</v>
      </c>
      <c r="B115" s="1">
        <v>1.2509064336948279</v>
      </c>
      <c r="C115">
        <f>IF(B115&lt;2,0, 1)</f>
        <v>0</v>
      </c>
      <c r="D115">
        <v>17.125</v>
      </c>
      <c r="E115" s="2">
        <v>861335675</v>
      </c>
      <c r="F115" s="17">
        <f t="shared" si="9"/>
        <v>2.7711411878702297E-2</v>
      </c>
      <c r="G115" s="18">
        <v>149.07538542606116</v>
      </c>
      <c r="H115" s="19">
        <f t="shared" si="10"/>
        <v>5.8873203123606568E-2</v>
      </c>
      <c r="I115" s="20">
        <v>-3.2500000000000001E-2</v>
      </c>
      <c r="J115" s="21">
        <v>97.804798672690708</v>
      </c>
      <c r="K115" s="21">
        <f t="shared" si="7"/>
        <v>-23.814745152588557</v>
      </c>
      <c r="L115" s="5">
        <f t="shared" si="11"/>
        <v>-20.59043717770237</v>
      </c>
      <c r="M115" s="10">
        <v>-2.1864678364264301E-2</v>
      </c>
      <c r="N115" s="10">
        <f t="shared" si="13"/>
        <v>-3.8989007399673E-3</v>
      </c>
      <c r="O115" s="7">
        <v>317.74060777633252</v>
      </c>
      <c r="P115" s="13">
        <v>6643</v>
      </c>
      <c r="Q115" s="13">
        <v>46348</v>
      </c>
      <c r="R115" s="22">
        <f t="shared" si="12"/>
        <v>-0.10343360092852305</v>
      </c>
      <c r="S115" s="9">
        <f t="shared" si="8"/>
        <v>6.9769682372422102</v>
      </c>
      <c r="T115" s="12">
        <v>153754.17174410133</v>
      </c>
    </row>
    <row r="116" spans="1:20" x14ac:dyDescent="0.45">
      <c r="A116" s="11">
        <v>41456</v>
      </c>
      <c r="B116" s="1">
        <v>0.63297679974042786</v>
      </c>
      <c r="C116">
        <f>IF(B116&lt;2,0, 1)</f>
        <v>0</v>
      </c>
      <c r="D116">
        <v>17.6875</v>
      </c>
      <c r="E116" s="2">
        <v>883768255</v>
      </c>
      <c r="F116" s="17">
        <f t="shared" si="9"/>
        <v>2.6043946223404713E-2</v>
      </c>
      <c r="G116" s="18">
        <v>148.17954048731511</v>
      </c>
      <c r="H116" s="19">
        <f t="shared" si="10"/>
        <v>2.2989374009861969E-2</v>
      </c>
      <c r="I116" s="20">
        <v>-3.2500000000000001E-2</v>
      </c>
      <c r="J116" s="21">
        <v>97.144330180544983</v>
      </c>
      <c r="K116" s="21">
        <f t="shared" si="7"/>
        <v>-24.475213644734282</v>
      </c>
      <c r="L116" s="5">
        <f t="shared" si="11"/>
        <v>-21.541213982095726</v>
      </c>
      <c r="M116" s="10">
        <v>-2.68547066721548E-2</v>
      </c>
      <c r="N116" s="10">
        <f t="shared" si="13"/>
        <v>-7.3444198106746E-3</v>
      </c>
      <c r="O116" s="7">
        <v>317.76763324295541</v>
      </c>
      <c r="P116" s="13">
        <v>6988</v>
      </c>
      <c r="Q116" s="13">
        <v>46818</v>
      </c>
      <c r="R116" s="22">
        <f t="shared" si="12"/>
        <v>-9.831866417579882E-2</v>
      </c>
      <c r="S116" s="9">
        <f t="shared" si="8"/>
        <v>6.6997710360618203</v>
      </c>
      <c r="T116" s="12">
        <v>155356.74362476959</v>
      </c>
    </row>
    <row r="117" spans="1:20" x14ac:dyDescent="0.45">
      <c r="A117" s="11">
        <v>41487</v>
      </c>
      <c r="B117" s="1">
        <v>0.87283791765111407</v>
      </c>
      <c r="C117">
        <f>IF(B117&lt;2,0, 1)</f>
        <v>0</v>
      </c>
      <c r="D117">
        <v>18.0625</v>
      </c>
      <c r="E117" s="2">
        <v>898528307</v>
      </c>
      <c r="F117" s="17">
        <f t="shared" si="9"/>
        <v>1.6701269723701492E-2</v>
      </c>
      <c r="G117" s="18">
        <v>150.15291457966131</v>
      </c>
      <c r="H117" s="19">
        <f t="shared" si="10"/>
        <v>3.5768172345752344E-2</v>
      </c>
      <c r="I117" s="20">
        <v>-3.2500000000000001E-2</v>
      </c>
      <c r="J117" s="21">
        <v>96.434190097789269</v>
      </c>
      <c r="K117" s="21">
        <f t="shared" si="7"/>
        <v>-25.185353727489996</v>
      </c>
      <c r="L117" s="5">
        <f t="shared" si="11"/>
        <v>-21.012658330293974</v>
      </c>
      <c r="M117" s="10">
        <v>-2.68547066721548E-2</v>
      </c>
      <c r="N117" s="10">
        <f t="shared" si="13"/>
        <v>-7.3444198106746E-3</v>
      </c>
      <c r="O117" s="7">
        <v>292.71011520124023</v>
      </c>
      <c r="P117" s="13">
        <v>7074</v>
      </c>
      <c r="Q117" s="13">
        <v>45152</v>
      </c>
      <c r="R117" s="22">
        <f t="shared" si="12"/>
        <v>-9.6779355871174255E-2</v>
      </c>
      <c r="S117" s="9">
        <f t="shared" si="8"/>
        <v>6.382810291207238</v>
      </c>
      <c r="T117" s="12">
        <v>155356.74362476959</v>
      </c>
    </row>
    <row r="118" spans="1:20" x14ac:dyDescent="0.45">
      <c r="A118" s="11">
        <v>41518</v>
      </c>
      <c r="B118" s="1">
        <v>0.95846896273378701</v>
      </c>
      <c r="C118">
        <f>IF(B118&lt;2,0, 1)</f>
        <v>0</v>
      </c>
      <c r="D118">
        <v>17.1875</v>
      </c>
      <c r="E118" s="2">
        <v>923417887</v>
      </c>
      <c r="F118" s="17">
        <f t="shared" si="9"/>
        <v>2.7700384958489681E-2</v>
      </c>
      <c r="G118" s="18">
        <v>150.13367442529517</v>
      </c>
      <c r="H118" s="19">
        <f t="shared" si="10"/>
        <v>2.6431852362747216E-2</v>
      </c>
      <c r="I118" s="20">
        <v>-3.2500000000000001E-2</v>
      </c>
      <c r="J118" s="21">
        <v>100.07014316493891</v>
      </c>
      <c r="K118" s="21">
        <f t="shared" si="7"/>
        <v>-21.549400660340353</v>
      </c>
      <c r="L118" s="5">
        <f t="shared" si="11"/>
        <v>-20.031190982156062</v>
      </c>
      <c r="M118" s="10">
        <v>-2.68547066721548E-2</v>
      </c>
      <c r="N118" s="10">
        <f t="shared" si="13"/>
        <v>-7.3444198106746E-3</v>
      </c>
      <c r="O118" s="7">
        <v>295.25221727738068</v>
      </c>
      <c r="P118" s="13">
        <v>6029</v>
      </c>
      <c r="Q118" s="13">
        <v>45010</v>
      </c>
      <c r="R118" s="22">
        <f t="shared" si="12"/>
        <v>-7.3677711463264073E-2</v>
      </c>
      <c r="S118" s="9">
        <f t="shared" si="8"/>
        <v>7.4655830154254437</v>
      </c>
      <c r="T118" s="12">
        <v>155356.74362476959</v>
      </c>
    </row>
    <row r="119" spans="1:20" x14ac:dyDescent="0.45">
      <c r="A119" s="11">
        <v>41548</v>
      </c>
      <c r="B119" s="1">
        <v>1.8555531032166088</v>
      </c>
      <c r="C119">
        <f>IF(B119&lt;2,0, 1)</f>
        <v>0</v>
      </c>
      <c r="D119">
        <v>19.1875</v>
      </c>
      <c r="E119" s="2">
        <v>937693595</v>
      </c>
      <c r="F119" s="17">
        <f t="shared" si="9"/>
        <v>1.5459639888911964E-2</v>
      </c>
      <c r="G119" s="18">
        <v>148.92547600648854</v>
      </c>
      <c r="H119" s="19">
        <f t="shared" si="10"/>
        <v>1.203447943370453E-2</v>
      </c>
      <c r="I119" s="20">
        <v>-3.2500000000000001E-2</v>
      </c>
      <c r="J119" s="21">
        <v>99.389391815033065</v>
      </c>
      <c r="K119" s="21">
        <f t="shared" si="7"/>
        <v>-22.230152010246201</v>
      </c>
      <c r="L119" s="5">
        <f t="shared" si="11"/>
        <v>-19.76454737300439</v>
      </c>
      <c r="M119" s="10">
        <v>-2.5244192500769799E-2</v>
      </c>
      <c r="N119" s="10">
        <f t="shared" si="13"/>
        <v>-8.6847829668267006E-3</v>
      </c>
      <c r="O119" s="7">
        <v>275.3552289300066</v>
      </c>
      <c r="P119" s="13">
        <v>6831</v>
      </c>
      <c r="Q119" s="13">
        <v>45274</v>
      </c>
      <c r="R119" s="22">
        <f t="shared" si="12"/>
        <v>-4.7324453422553314E-2</v>
      </c>
      <c r="S119" s="9">
        <f t="shared" si="8"/>
        <v>6.627726540770019</v>
      </c>
      <c r="T119" s="12">
        <v>155488.92317603092</v>
      </c>
    </row>
    <row r="120" spans="1:20" x14ac:dyDescent="0.45">
      <c r="A120" s="11">
        <v>41579</v>
      </c>
      <c r="B120" s="1">
        <v>1.9492062255896134</v>
      </c>
      <c r="C120">
        <f>IF(B120&lt;2,0, 1)</f>
        <v>0</v>
      </c>
      <c r="D120">
        <v>19.1875</v>
      </c>
      <c r="E120" s="2">
        <v>955017383</v>
      </c>
      <c r="F120" s="17">
        <f t="shared" si="9"/>
        <v>1.8474892110146066E-2</v>
      </c>
      <c r="G120" s="18">
        <v>148.01414618331941</v>
      </c>
      <c r="H120" s="19">
        <f t="shared" si="10"/>
        <v>6.8853855330740033E-3</v>
      </c>
      <c r="I120" s="20">
        <v>-3.2500000000000001E-2</v>
      </c>
      <c r="J120" s="21">
        <v>98.89728260906891</v>
      </c>
      <c r="K120" s="21">
        <f t="shared" si="7"/>
        <v>-22.722261216210356</v>
      </c>
      <c r="L120" s="5">
        <f t="shared" si="11"/>
        <v>-21.646639552516035</v>
      </c>
      <c r="M120" s="10">
        <v>-2.5244192500769799E-2</v>
      </c>
      <c r="N120" s="10">
        <f t="shared" si="13"/>
        <v>-8.6847829668267006E-3</v>
      </c>
      <c r="O120" s="7">
        <v>273.20049713127588</v>
      </c>
      <c r="P120" s="13">
        <v>6092</v>
      </c>
      <c r="Q120" s="13">
        <v>45238</v>
      </c>
      <c r="R120" s="22">
        <f t="shared" si="12"/>
        <v>-1.7888932308627536E-2</v>
      </c>
      <c r="S120" s="9">
        <f t="shared" si="8"/>
        <v>7.4258043335521995</v>
      </c>
      <c r="T120" s="12">
        <v>155488.92317603092</v>
      </c>
    </row>
    <row r="121" spans="1:20" x14ac:dyDescent="0.45">
      <c r="A121" s="11">
        <v>41609</v>
      </c>
      <c r="B121" s="1">
        <v>2.1462150571710326</v>
      </c>
      <c r="C121">
        <f>IF(B121&lt;2,0, 1)</f>
        <v>1</v>
      </c>
      <c r="D121">
        <v>21.625</v>
      </c>
      <c r="E121" s="2">
        <v>999888062</v>
      </c>
      <c r="F121" s="17">
        <f t="shared" si="9"/>
        <v>4.6984148978574142E-2</v>
      </c>
      <c r="G121" s="18">
        <v>147.2405427564795</v>
      </c>
      <c r="H121" s="19">
        <f t="shared" si="10"/>
        <v>-1.3602912810848343E-2</v>
      </c>
      <c r="I121" s="20">
        <v>-3.2500000000000001E-2</v>
      </c>
      <c r="J121" s="21">
        <v>102.68980471966627</v>
      </c>
      <c r="K121" s="21">
        <f t="shared" si="7"/>
        <v>-18.929739105612995</v>
      </c>
      <c r="L121" s="5">
        <f t="shared" si="11"/>
        <v>-19.405729063654718</v>
      </c>
      <c r="M121" s="10">
        <v>-2.5244192500769799E-2</v>
      </c>
      <c r="N121" s="10">
        <f t="shared" si="13"/>
        <v>-8.6847829668267006E-3</v>
      </c>
      <c r="O121" s="7">
        <v>279.94090855303131</v>
      </c>
      <c r="P121" s="13">
        <v>5412</v>
      </c>
      <c r="Q121" s="13">
        <v>43290</v>
      </c>
      <c r="R121" s="22">
        <f t="shared" si="12"/>
        <v>-6.6543039503191292E-2</v>
      </c>
      <c r="S121" s="9">
        <f t="shared" si="8"/>
        <v>7.9988913525498893</v>
      </c>
      <c r="T121" s="12">
        <v>155488.92317603092</v>
      </c>
    </row>
    <row r="122" spans="1:20" x14ac:dyDescent="0.45">
      <c r="A122" s="11">
        <v>41640</v>
      </c>
      <c r="B122" s="1">
        <v>7.1726440336580763</v>
      </c>
      <c r="C122">
        <f>IF(B122&lt;2,0, 1)</f>
        <v>1</v>
      </c>
      <c r="D122">
        <v>25.375</v>
      </c>
      <c r="E122" s="2">
        <v>1016943407</v>
      </c>
      <c r="F122" s="17">
        <f t="shared" si="9"/>
        <v>1.7057254354937983E-2</v>
      </c>
      <c r="G122" s="18">
        <v>145.40715964344699</v>
      </c>
      <c r="H122" s="19">
        <f t="shared" si="10"/>
        <v>-4.0844203927424836E-3</v>
      </c>
      <c r="I122" s="20">
        <v>-4.2500000000000003E-2</v>
      </c>
      <c r="J122" s="21">
        <v>119.18098856867752</v>
      </c>
      <c r="K122" s="21">
        <f t="shared" si="7"/>
        <v>-2.4385552566017452</v>
      </c>
      <c r="L122" s="5">
        <f t="shared" si="11"/>
        <v>-18.095243430939732</v>
      </c>
      <c r="M122" s="10">
        <v>-2.35921658515196E-2</v>
      </c>
      <c r="N122" s="10">
        <f t="shared" si="13"/>
        <v>-1.37059265382431E-2</v>
      </c>
      <c r="O122" s="7">
        <v>274.12571985686702</v>
      </c>
      <c r="P122" s="13">
        <v>5649</v>
      </c>
      <c r="Q122" s="13">
        <v>42531</v>
      </c>
      <c r="R122" s="22">
        <f t="shared" si="12"/>
        <v>-8.7200068678370601E-2</v>
      </c>
      <c r="S122" s="9">
        <f t="shared" si="8"/>
        <v>7.5289431757833247</v>
      </c>
      <c r="T122" s="12">
        <v>156119.67870142413</v>
      </c>
    </row>
    <row r="123" spans="1:20" x14ac:dyDescent="0.45">
      <c r="A123" s="11">
        <v>41671</v>
      </c>
      <c r="B123" s="1">
        <v>-8.0494137901580276E-3</v>
      </c>
      <c r="C123">
        <f>IF(B123&lt;2,0, 1)</f>
        <v>0</v>
      </c>
      <c r="D123">
        <v>26.25</v>
      </c>
      <c r="E123" s="2">
        <v>1004141352</v>
      </c>
      <c r="F123" s="17">
        <f t="shared" si="9"/>
        <v>-1.2588758540424856E-2</v>
      </c>
      <c r="G123" s="18">
        <v>146.69922057292067</v>
      </c>
      <c r="H123" s="19">
        <f t="shared" si="10"/>
        <v>-1.320556717083253E-2</v>
      </c>
      <c r="I123" s="20">
        <v>-4.2500000000000003E-2</v>
      </c>
      <c r="J123" s="21">
        <v>113.3365643062557</v>
      </c>
      <c r="K123" s="21">
        <f t="shared" si="7"/>
        <v>-8.28297951902357</v>
      </c>
      <c r="L123" s="5">
        <f t="shared" si="11"/>
        <v>-18.44525113197318</v>
      </c>
      <c r="M123" s="10">
        <v>-2.35921658515196E-2</v>
      </c>
      <c r="N123" s="10">
        <f t="shared" si="13"/>
        <v>-1.37059265382431E-2</v>
      </c>
      <c r="O123" s="7">
        <v>284.81943529803959</v>
      </c>
      <c r="P123" s="13">
        <v>5537</v>
      </c>
      <c r="Q123" s="13">
        <v>41609</v>
      </c>
      <c r="R123" s="22">
        <f t="shared" si="12"/>
        <v>-0.10840404559869721</v>
      </c>
      <c r="S123" s="9">
        <f t="shared" si="8"/>
        <v>7.514719162001084</v>
      </c>
      <c r="T123" s="12">
        <v>156119.67870142413</v>
      </c>
    </row>
    <row r="124" spans="1:20" x14ac:dyDescent="0.45">
      <c r="A124" s="11">
        <v>41699</v>
      </c>
      <c r="B124" s="1">
        <v>0.67238421529171499</v>
      </c>
      <c r="C124">
        <f>IF(B124&lt;2,0, 1)</f>
        <v>0</v>
      </c>
      <c r="D124">
        <v>26.375</v>
      </c>
      <c r="E124" s="2">
        <v>1014354612</v>
      </c>
      <c r="F124" s="17">
        <f t="shared" si="9"/>
        <v>1.0171137738384864E-2</v>
      </c>
      <c r="G124" s="18">
        <v>145.46109512822682</v>
      </c>
      <c r="H124" s="19">
        <f t="shared" si="10"/>
        <v>-2.1683935025541199E-2</v>
      </c>
      <c r="I124" s="20">
        <v>-4.2500000000000003E-2</v>
      </c>
      <c r="J124" s="21">
        <v>112.36557951239455</v>
      </c>
      <c r="K124" s="21">
        <f t="shared" si="7"/>
        <v>-9.2539643128847189</v>
      </c>
      <c r="L124" s="5">
        <f t="shared" si="11"/>
        <v>-19.871810380437438</v>
      </c>
      <c r="M124" s="10">
        <v>-2.35921658515196E-2</v>
      </c>
      <c r="N124" s="10">
        <f t="shared" si="13"/>
        <v>-1.37059265382431E-2</v>
      </c>
      <c r="O124" s="7">
        <v>291.77606448538899</v>
      </c>
      <c r="P124" s="13">
        <v>5390</v>
      </c>
      <c r="Q124" s="13">
        <v>40446</v>
      </c>
      <c r="R124" s="22">
        <f t="shared" si="12"/>
        <v>-0.14474212852339774</v>
      </c>
      <c r="S124" s="9">
        <f t="shared" si="8"/>
        <v>7.5038961038961043</v>
      </c>
      <c r="T124" s="12">
        <v>156119.67870142413</v>
      </c>
    </row>
    <row r="125" spans="1:20" x14ac:dyDescent="0.45">
      <c r="A125" s="11">
        <v>41730</v>
      </c>
      <c r="B125" s="1">
        <v>-0.88380113707765928</v>
      </c>
      <c r="C125">
        <f>IF(B125&lt;2,0, 1)</f>
        <v>0</v>
      </c>
      <c r="D125">
        <v>25.8125</v>
      </c>
      <c r="E125" s="2">
        <v>1015263618</v>
      </c>
      <c r="F125" s="17">
        <f t="shared" si="9"/>
        <v>8.9614222604826089E-4</v>
      </c>
      <c r="G125" s="18">
        <v>145.08399452618951</v>
      </c>
      <c r="H125" s="19">
        <f t="shared" si="10"/>
        <v>-2.3893947971444604E-2</v>
      </c>
      <c r="I125" s="20">
        <v>-4.2500000000000003E-2</v>
      </c>
      <c r="J125" s="21">
        <v>110.24920691826794</v>
      </c>
      <c r="K125" s="21">
        <f t="shared" si="7"/>
        <v>-11.370336907011321</v>
      </c>
      <c r="L125" s="5">
        <f t="shared" si="11"/>
        <v>-19.271468693553516</v>
      </c>
      <c r="M125" s="10">
        <v>-1.7174967730224401E-2</v>
      </c>
      <c r="N125" s="10">
        <f t="shared" si="13"/>
        <v>-2.1864678364264301E-2</v>
      </c>
      <c r="O125" s="7">
        <v>299.9849591630761</v>
      </c>
      <c r="P125" s="13">
        <v>5656</v>
      </c>
      <c r="Q125" s="13">
        <v>39532</v>
      </c>
      <c r="R125" s="22">
        <f t="shared" si="12"/>
        <v>-0.17373129337011961</v>
      </c>
      <c r="S125" s="9">
        <f t="shared" si="8"/>
        <v>6.9893917963224892</v>
      </c>
      <c r="T125" s="12">
        <v>161891.12781352404</v>
      </c>
    </row>
    <row r="126" spans="1:20" x14ac:dyDescent="0.45">
      <c r="A126" s="11">
        <v>41760</v>
      </c>
      <c r="B126" s="1">
        <v>-0.43534504586751244</v>
      </c>
      <c r="C126">
        <f>IF(B126&lt;2,0, 1)</f>
        <v>0</v>
      </c>
      <c r="D126">
        <v>24</v>
      </c>
      <c r="E126" s="2">
        <v>1040788950</v>
      </c>
      <c r="F126" s="17">
        <f t="shared" si="9"/>
        <v>2.5141580519041116E-2</v>
      </c>
      <c r="G126" s="18">
        <v>145.31043923719434</v>
      </c>
      <c r="H126" s="19">
        <f t="shared" si="10"/>
        <v>-2.0284930145815085E-2</v>
      </c>
      <c r="I126" s="20">
        <v>-4.2500000000000003E-2</v>
      </c>
      <c r="J126" s="21">
        <v>108.79759888076083</v>
      </c>
      <c r="K126" s="21">
        <f t="shared" si="7"/>
        <v>-12.821944944518435</v>
      </c>
      <c r="L126" s="5">
        <f t="shared" si="11"/>
        <v>-22.417084001651261</v>
      </c>
      <c r="M126" s="10">
        <v>-1.7174967730224401E-2</v>
      </c>
      <c r="N126" s="10">
        <f t="shared" si="13"/>
        <v>-2.1864678364264301E-2</v>
      </c>
      <c r="O126" s="7">
        <v>298.99172120866012</v>
      </c>
      <c r="P126" s="13">
        <v>5777</v>
      </c>
      <c r="Q126" s="13">
        <v>38551</v>
      </c>
      <c r="R126" s="22">
        <f t="shared" si="12"/>
        <v>-0.17938183830729282</v>
      </c>
      <c r="S126" s="9">
        <f t="shared" si="8"/>
        <v>6.673186775142808</v>
      </c>
      <c r="T126" s="12">
        <v>161891.12781352404</v>
      </c>
    </row>
    <row r="127" spans="1:20" x14ac:dyDescent="0.45">
      <c r="A127" s="11">
        <v>41791</v>
      </c>
      <c r="B127" s="1">
        <v>-0.60918739492854401</v>
      </c>
      <c r="C127">
        <f>IF(B127&lt;2,0, 1)</f>
        <v>0</v>
      </c>
      <c r="D127">
        <v>22.8125</v>
      </c>
      <c r="E127" s="2">
        <v>1075891086</v>
      </c>
      <c r="F127" s="17">
        <f t="shared" si="9"/>
        <v>3.3726468752382506E-2</v>
      </c>
      <c r="G127" s="18">
        <v>144.52852371241462</v>
      </c>
      <c r="H127" s="19">
        <f t="shared" si="10"/>
        <v>-3.0500418970251134E-2</v>
      </c>
      <c r="I127" s="20">
        <v>-4.2500000000000003E-2</v>
      </c>
      <c r="J127" s="21">
        <v>108.33197900318399</v>
      </c>
      <c r="K127" s="21">
        <f t="shared" si="7"/>
        <v>-13.287564822095277</v>
      </c>
      <c r="L127" s="5">
        <f t="shared" si="11"/>
        <v>-23.814745152588557</v>
      </c>
      <c r="M127" s="10">
        <v>-1.7174967730224401E-2</v>
      </c>
      <c r="N127" s="10">
        <f t="shared" si="13"/>
        <v>-2.1864678364264301E-2</v>
      </c>
      <c r="O127" s="7">
        <v>290.92794840653562</v>
      </c>
      <c r="P127" s="13">
        <v>5848</v>
      </c>
      <c r="Q127" s="13">
        <v>37005</v>
      </c>
      <c r="R127" s="22">
        <f t="shared" si="12"/>
        <v>-0.20158367135582977</v>
      </c>
      <c r="S127" s="9">
        <f t="shared" si="8"/>
        <v>6.3278043775649797</v>
      </c>
      <c r="T127" s="12">
        <v>161891.12781352404</v>
      </c>
    </row>
    <row r="128" spans="1:20" x14ac:dyDescent="0.45">
      <c r="A128" s="11">
        <v>41821</v>
      </c>
      <c r="B128" s="1">
        <v>-5.7773113738276705E-2</v>
      </c>
      <c r="C128">
        <f>IF(B128&lt;2,0, 1)</f>
        <v>0</v>
      </c>
      <c r="D128">
        <v>21.375</v>
      </c>
      <c r="E128" s="2">
        <v>1087900475</v>
      </c>
      <c r="F128" s="17">
        <f t="shared" si="9"/>
        <v>1.1162272051764168E-2</v>
      </c>
      <c r="G128" s="18">
        <v>144.11159770727957</v>
      </c>
      <c r="H128" s="19">
        <f t="shared" si="10"/>
        <v>-2.7452796564609219E-2</v>
      </c>
      <c r="I128" s="20">
        <v>-4.2500000000000003E-2</v>
      </c>
      <c r="J128" s="21">
        <v>105.74653297484231</v>
      </c>
      <c r="K128" s="21">
        <f t="shared" si="7"/>
        <v>-15.873010850436955</v>
      </c>
      <c r="L128" s="5">
        <f t="shared" si="11"/>
        <v>-24.475213644734282</v>
      </c>
      <c r="M128" s="10">
        <v>-1.48978767377383E-2</v>
      </c>
      <c r="N128" s="10">
        <f t="shared" si="13"/>
        <v>-2.68547066721548E-2</v>
      </c>
      <c r="O128" s="7">
        <v>268.90686704966151</v>
      </c>
      <c r="P128" s="13">
        <v>6145</v>
      </c>
      <c r="Q128" s="13">
        <v>37049</v>
      </c>
      <c r="R128" s="22">
        <f t="shared" si="12"/>
        <v>-0.20865906275364177</v>
      </c>
      <c r="S128" s="9">
        <f t="shared" si="8"/>
        <v>6.0291293734743698</v>
      </c>
      <c r="T128" s="12">
        <v>156730.22518446547</v>
      </c>
    </row>
    <row r="129" spans="1:20" x14ac:dyDescent="0.45">
      <c r="A129" s="11">
        <v>41852</v>
      </c>
      <c r="B129" s="1">
        <v>0.48387552005854662</v>
      </c>
      <c r="C129">
        <f>IF(B129&lt;2,0, 1)</f>
        <v>0</v>
      </c>
      <c r="D129">
        <v>20.75</v>
      </c>
      <c r="E129" s="2">
        <v>1116794888</v>
      </c>
      <c r="F129" s="17">
        <f t="shared" si="9"/>
        <v>2.6559794451785676E-2</v>
      </c>
      <c r="G129" s="18">
        <v>143.47392522681693</v>
      </c>
      <c r="H129" s="19">
        <f t="shared" si="10"/>
        <v>-4.4481250141174898E-2</v>
      </c>
      <c r="I129" s="20">
        <v>-4.2500000000000003E-2</v>
      </c>
      <c r="J129" s="21">
        <v>105.87279996070819</v>
      </c>
      <c r="K129" s="21">
        <f t="shared" si="7"/>
        <v>-15.746743864571073</v>
      </c>
      <c r="L129" s="5">
        <f t="shared" si="11"/>
        <v>-25.185353727489996</v>
      </c>
      <c r="M129" s="10">
        <v>-1.48978767377383E-2</v>
      </c>
      <c r="N129" s="10">
        <f t="shared" si="13"/>
        <v>-2.68547066721548E-2</v>
      </c>
      <c r="O129" s="7">
        <v>264.76849250434481</v>
      </c>
      <c r="P129" s="13">
        <v>5644</v>
      </c>
      <c r="Q129" s="13">
        <v>36678</v>
      </c>
      <c r="R129" s="22">
        <f t="shared" si="12"/>
        <v>-0.18767717930545713</v>
      </c>
      <c r="S129" s="9">
        <f t="shared" si="8"/>
        <v>6.4985825655563429</v>
      </c>
      <c r="T129" s="12">
        <v>156730.22518446547</v>
      </c>
    </row>
    <row r="130" spans="1:20" x14ac:dyDescent="0.45">
      <c r="A130" s="11">
        <v>41883</v>
      </c>
      <c r="B130" s="1">
        <v>0.29500338925066083</v>
      </c>
      <c r="C130">
        <f>IF(B130&lt;2,0, 1)</f>
        <v>0</v>
      </c>
      <c r="D130">
        <v>19.875</v>
      </c>
      <c r="E130" s="2">
        <v>1129543227</v>
      </c>
      <c r="F130" s="17">
        <f t="shared" si="9"/>
        <v>1.141511224395934E-2</v>
      </c>
      <c r="G130" s="18">
        <v>143.59442693827827</v>
      </c>
      <c r="H130" s="19">
        <f t="shared" si="10"/>
        <v>-4.3556167608958044E-2</v>
      </c>
      <c r="I130" s="20">
        <v>-4.2500000000000003E-2</v>
      </c>
      <c r="J130" s="21">
        <v>98.904448064204047</v>
      </c>
      <c r="K130" s="21">
        <f t="shared" si="7"/>
        <v>-22.715095761075219</v>
      </c>
      <c r="L130" s="5">
        <f t="shared" si="11"/>
        <v>-21.549400660340353</v>
      </c>
      <c r="M130" s="10">
        <v>-1.48978767377383E-2</v>
      </c>
      <c r="N130" s="10">
        <f t="shared" si="13"/>
        <v>-2.68547066721548E-2</v>
      </c>
      <c r="O130" s="7">
        <v>265.92920725373239</v>
      </c>
      <c r="P130" s="13">
        <v>5644</v>
      </c>
      <c r="Q130" s="13">
        <v>34741</v>
      </c>
      <c r="R130" s="22">
        <f t="shared" si="12"/>
        <v>-0.22814930015552104</v>
      </c>
      <c r="S130" s="9">
        <f t="shared" si="8"/>
        <v>6.155386250885897</v>
      </c>
      <c r="T130" s="12">
        <v>156730.22518446547</v>
      </c>
    </row>
    <row r="131" spans="1:20" x14ac:dyDescent="0.45">
      <c r="A131" s="11">
        <v>41913</v>
      </c>
      <c r="B131" s="1">
        <v>7.3331826017234744E-2</v>
      </c>
      <c r="C131">
        <f>IF(B131&lt;2,0, 1)</f>
        <v>0</v>
      </c>
      <c r="D131">
        <v>20.25</v>
      </c>
      <c r="E131" s="2">
        <v>1157478247</v>
      </c>
      <c r="F131" s="17">
        <f t="shared" si="9"/>
        <v>2.4731253600797344E-2</v>
      </c>
      <c r="G131" s="18">
        <v>143.75453842818999</v>
      </c>
      <c r="H131" s="19">
        <f t="shared" si="10"/>
        <v>-3.4721645462951256E-2</v>
      </c>
      <c r="I131" s="20">
        <v>-4.2500000000000003E-2</v>
      </c>
      <c r="J131" s="21">
        <v>98.049721275503614</v>
      </c>
      <c r="K131" s="21">
        <f t="shared" ref="K131:K194" si="14">J131-AVERAGE($J$2:$J$235)</f>
        <v>-23.569822549775651</v>
      </c>
      <c r="L131" s="5">
        <f t="shared" si="11"/>
        <v>-22.230152010246201</v>
      </c>
      <c r="M131" s="10">
        <v>-1.97212746463322E-2</v>
      </c>
      <c r="N131" s="10">
        <f t="shared" si="13"/>
        <v>-2.5244192500769799E-2</v>
      </c>
      <c r="O131" s="7">
        <v>228.8691947283445</v>
      </c>
      <c r="P131" s="13">
        <v>5494</v>
      </c>
      <c r="Q131" s="13">
        <v>33232</v>
      </c>
      <c r="R131" s="22">
        <f t="shared" si="12"/>
        <v>-0.26598047444449358</v>
      </c>
      <c r="S131" s="9">
        <f t="shared" ref="S131:S194" si="15">Q131/P131</f>
        <v>6.0487804878048781</v>
      </c>
      <c r="T131" s="12">
        <v>158742.24902494403</v>
      </c>
    </row>
    <row r="132" spans="1:20" x14ac:dyDescent="0.45">
      <c r="A132" s="11">
        <v>41944</v>
      </c>
      <c r="B132" s="1">
        <v>-0.46682760707106236</v>
      </c>
      <c r="C132">
        <f>IF(B132&lt;2,0, 1)</f>
        <v>0</v>
      </c>
      <c r="D132">
        <v>20</v>
      </c>
      <c r="E132" s="2">
        <v>1200232518</v>
      </c>
      <c r="F132" s="17">
        <f t="shared" ref="F132:F195" si="16">(E132-E131)/E131</f>
        <v>3.6937429373564722E-2</v>
      </c>
      <c r="G132" s="18">
        <v>144.8552824705562</v>
      </c>
      <c r="H132" s="19">
        <f t="shared" si="10"/>
        <v>-2.134163385201622E-2</v>
      </c>
      <c r="I132" s="20">
        <v>-4.2500000000000003E-2</v>
      </c>
      <c r="J132" s="21">
        <v>94.742512491930938</v>
      </c>
      <c r="K132" s="21">
        <f t="shared" si="14"/>
        <v>-26.877031333348327</v>
      </c>
      <c r="L132" s="5">
        <f t="shared" si="11"/>
        <v>-22.722261216210356</v>
      </c>
      <c r="M132" s="10">
        <v>-1.97212746463322E-2</v>
      </c>
      <c r="N132" s="10">
        <f t="shared" si="13"/>
        <v>-2.5244192500769799E-2</v>
      </c>
      <c r="O132" s="7">
        <v>248.6290955045518</v>
      </c>
      <c r="P132" s="13">
        <v>4651</v>
      </c>
      <c r="Q132" s="13">
        <v>30799</v>
      </c>
      <c r="R132" s="22">
        <f t="shared" si="12"/>
        <v>-0.3191785666917194</v>
      </c>
      <c r="S132" s="9">
        <f t="shared" si="15"/>
        <v>6.6220167705869706</v>
      </c>
      <c r="T132" s="12">
        <v>158742.24902494403</v>
      </c>
    </row>
    <row r="133" spans="1:20" x14ac:dyDescent="0.45">
      <c r="A133" s="11">
        <v>41974</v>
      </c>
      <c r="B133" s="1">
        <v>-1.2417558513117668</v>
      </c>
      <c r="C133">
        <f>IF(B133&lt;2,0, 1)</f>
        <v>0</v>
      </c>
      <c r="D133">
        <v>20.375</v>
      </c>
      <c r="E133" s="2">
        <v>1283152553</v>
      </c>
      <c r="F133" s="17">
        <f t="shared" si="16"/>
        <v>6.9086642593364569E-2</v>
      </c>
      <c r="G133" s="18">
        <v>144.97161531045509</v>
      </c>
      <c r="H133" s="19">
        <f t="shared" si="10"/>
        <v>-1.5409665052491526E-2</v>
      </c>
      <c r="I133" s="20">
        <v>-4.2500000000000003E-2</v>
      </c>
      <c r="J133" s="21">
        <v>92.013875257815897</v>
      </c>
      <c r="K133" s="21">
        <f t="shared" si="14"/>
        <v>-29.605668567463368</v>
      </c>
      <c r="L133" s="5">
        <f t="shared" si="11"/>
        <v>-18.929739105612995</v>
      </c>
      <c r="M133" s="10">
        <v>-1.97212746463322E-2</v>
      </c>
      <c r="N133" s="10">
        <f t="shared" si="13"/>
        <v>-2.5244192500769799E-2</v>
      </c>
      <c r="O133" s="7">
        <v>242.75994192950751</v>
      </c>
      <c r="P133" s="13">
        <v>4300</v>
      </c>
      <c r="Q133" s="13">
        <v>30599</v>
      </c>
      <c r="R133" s="22">
        <f t="shared" si="12"/>
        <v>-0.29316239316239312</v>
      </c>
      <c r="S133" s="9">
        <f t="shared" si="15"/>
        <v>7.116046511627907</v>
      </c>
      <c r="T133" s="12">
        <v>158742.24902494403</v>
      </c>
    </row>
    <row r="134" spans="1:20" x14ac:dyDescent="0.45">
      <c r="A134" s="11">
        <v>42005</v>
      </c>
      <c r="B134" s="1">
        <v>0.26314749941320892</v>
      </c>
      <c r="C134">
        <f>IF(B134&lt;2,0, 1)</f>
        <v>0</v>
      </c>
      <c r="D134">
        <v>20.5625</v>
      </c>
      <c r="E134" s="2">
        <v>1285613605</v>
      </c>
      <c r="F134" s="17">
        <f t="shared" si="16"/>
        <v>1.9179730377702018E-3</v>
      </c>
      <c r="G134" s="18">
        <v>144.28051200515785</v>
      </c>
      <c r="H134" s="19">
        <f t="shared" si="10"/>
        <v>-7.7482267107878058E-3</v>
      </c>
      <c r="I134" s="20">
        <v>-0.06</v>
      </c>
      <c r="J134" s="21">
        <v>89.789521137013296</v>
      </c>
      <c r="K134" s="21">
        <f t="shared" si="14"/>
        <v>-31.83002268826597</v>
      </c>
      <c r="L134" s="5">
        <f t="shared" si="11"/>
        <v>-2.4385552566017452</v>
      </c>
      <c r="M134" s="10">
        <v>-2.3169341717751101E-2</v>
      </c>
      <c r="N134" s="10">
        <f t="shared" si="13"/>
        <v>-2.35921658515196E-2</v>
      </c>
      <c r="O134" s="7">
        <v>225.28394463914469</v>
      </c>
      <c r="P134" s="13">
        <v>4363</v>
      </c>
      <c r="Q134" s="13">
        <v>27748</v>
      </c>
      <c r="R134" s="22">
        <f t="shared" si="12"/>
        <v>-0.34758176388986861</v>
      </c>
      <c r="S134" s="9">
        <f t="shared" si="15"/>
        <v>6.3598441439376572</v>
      </c>
      <c r="T134" s="12">
        <v>160671.00537341688</v>
      </c>
    </row>
    <row r="135" spans="1:20" x14ac:dyDescent="0.45">
      <c r="A135" s="11">
        <v>42036</v>
      </c>
      <c r="B135" s="1">
        <v>0.19390907957190789</v>
      </c>
      <c r="C135">
        <f>IF(B135&lt;2,0, 1)</f>
        <v>0</v>
      </c>
      <c r="D135">
        <v>20.625</v>
      </c>
      <c r="E135" s="2">
        <v>1305467110</v>
      </c>
      <c r="F135" s="17">
        <f t="shared" si="16"/>
        <v>1.5442824284672998E-2</v>
      </c>
      <c r="G135" s="18">
        <v>148.01773315595787</v>
      </c>
      <c r="H135" s="19">
        <f t="shared" si="10"/>
        <v>8.9878635884217493E-3</v>
      </c>
      <c r="I135" s="20">
        <v>-0.06</v>
      </c>
      <c r="J135" s="21">
        <v>88.177553694014506</v>
      </c>
      <c r="K135" s="21">
        <f t="shared" si="14"/>
        <v>-33.44199013126476</v>
      </c>
      <c r="L135" s="5">
        <f t="shared" si="11"/>
        <v>-8.28297951902357</v>
      </c>
      <c r="M135" s="10">
        <v>-2.3169341717751101E-2</v>
      </c>
      <c r="N135" s="10">
        <f t="shared" si="13"/>
        <v>-2.35921658515196E-2</v>
      </c>
      <c r="O135" s="7">
        <v>220.76832206065379</v>
      </c>
      <c r="P135" s="13">
        <v>4085</v>
      </c>
      <c r="Q135" s="13">
        <v>27546</v>
      </c>
      <c r="R135" s="22">
        <f t="shared" si="12"/>
        <v>-0.33797976399336682</v>
      </c>
      <c r="S135" s="9">
        <f t="shared" si="15"/>
        <v>6.7432068543451651</v>
      </c>
      <c r="T135" s="12">
        <v>160671.00537341688</v>
      </c>
    </row>
    <row r="136" spans="1:20" x14ac:dyDescent="0.45">
      <c r="A136" s="11">
        <v>42064</v>
      </c>
      <c r="B136" s="1">
        <v>0.60574605386528513</v>
      </c>
      <c r="C136">
        <f>IF(B136&lt;2,0, 1)</f>
        <v>0</v>
      </c>
      <c r="D136">
        <v>21.875</v>
      </c>
      <c r="E136" s="2">
        <v>1321587677</v>
      </c>
      <c r="F136" s="17">
        <f t="shared" si="16"/>
        <v>1.2348504896458097E-2</v>
      </c>
      <c r="G136" s="18">
        <v>147.64628214069228</v>
      </c>
      <c r="H136" s="19">
        <f t="shared" si="10"/>
        <v>1.502248426315763E-2</v>
      </c>
      <c r="I136" s="20">
        <v>-0.06</v>
      </c>
      <c r="J136" s="21">
        <v>83.73192154701627</v>
      </c>
      <c r="K136" s="21">
        <f t="shared" si="14"/>
        <v>-37.887622278262995</v>
      </c>
      <c r="L136" s="5">
        <f t="shared" si="11"/>
        <v>-9.2539643128847189</v>
      </c>
      <c r="M136" s="10">
        <v>-2.3169341717751101E-2</v>
      </c>
      <c r="N136" s="10">
        <f t="shared" si="13"/>
        <v>-2.35921658515196E-2</v>
      </c>
      <c r="O136" s="7">
        <v>216.77712577883631</v>
      </c>
      <c r="P136" s="13">
        <v>5059</v>
      </c>
      <c r="Q136" s="13">
        <v>27007</v>
      </c>
      <c r="R136" s="22">
        <f t="shared" si="12"/>
        <v>-0.33227018741037428</v>
      </c>
      <c r="S136" s="9">
        <f t="shared" si="15"/>
        <v>5.3384067997627991</v>
      </c>
      <c r="T136" s="12">
        <v>160671.00537341688</v>
      </c>
    </row>
    <row r="137" spans="1:20" x14ac:dyDescent="0.45">
      <c r="A137" s="11">
        <v>42095</v>
      </c>
      <c r="B137" s="1">
        <v>-1.4401716712550945</v>
      </c>
      <c r="C137">
        <f>IF(B137&lt;2,0, 1)</f>
        <v>0</v>
      </c>
      <c r="D137">
        <v>20.5625</v>
      </c>
      <c r="E137" s="2">
        <v>1336019579</v>
      </c>
      <c r="F137" s="17">
        <f t="shared" si="16"/>
        <v>1.0920124522317259E-2</v>
      </c>
      <c r="G137" s="18">
        <v>149.62528919348463</v>
      </c>
      <c r="H137" s="19">
        <f t="shared" si="10"/>
        <v>3.1301141674007035E-2</v>
      </c>
      <c r="I137" s="20">
        <v>-0.06</v>
      </c>
      <c r="J137" s="21">
        <v>85.584933658116398</v>
      </c>
      <c r="K137" s="21">
        <f t="shared" si="14"/>
        <v>-36.034610167162867</v>
      </c>
      <c r="L137" s="5">
        <f t="shared" si="11"/>
        <v>-11.370336907011321</v>
      </c>
      <c r="M137" s="10">
        <v>-2.7784933856296701E-2</v>
      </c>
      <c r="N137" s="10">
        <f t="shared" si="13"/>
        <v>-1.7174967730224401E-2</v>
      </c>
      <c r="O137" s="7">
        <v>211.2354412794005</v>
      </c>
      <c r="P137" s="13">
        <v>4933</v>
      </c>
      <c r="Q137" s="13">
        <v>28220</v>
      </c>
      <c r="R137" s="22">
        <f t="shared" si="12"/>
        <v>-0.28614793079024592</v>
      </c>
      <c r="S137" s="9">
        <f t="shared" si="15"/>
        <v>5.7206568011352115</v>
      </c>
      <c r="T137" s="12">
        <v>167581.44334975447</v>
      </c>
    </row>
    <row r="138" spans="1:20" x14ac:dyDescent="0.45">
      <c r="A138" s="11">
        <v>42125</v>
      </c>
      <c r="B138" s="1">
        <v>0.45846836807562985</v>
      </c>
      <c r="C138">
        <f>IF(B138&lt;2,0, 1)</f>
        <v>0</v>
      </c>
      <c r="D138">
        <v>20.4375</v>
      </c>
      <c r="E138" s="2">
        <v>1367671098</v>
      </c>
      <c r="F138" s="17">
        <f t="shared" si="16"/>
        <v>2.3690909547666141E-2</v>
      </c>
      <c r="G138" s="18">
        <v>149.72298670898132</v>
      </c>
      <c r="H138" s="19">
        <f t="shared" si="10"/>
        <v>3.0366348728629557E-2</v>
      </c>
      <c r="I138" s="20">
        <v>-0.06</v>
      </c>
      <c r="J138" s="21">
        <v>83.068684153276735</v>
      </c>
      <c r="K138" s="21">
        <f t="shared" si="14"/>
        <v>-38.550859672002531</v>
      </c>
      <c r="L138" s="5">
        <f t="shared" si="11"/>
        <v>-12.821944944518435</v>
      </c>
      <c r="M138" s="10">
        <v>-2.7784933856296701E-2</v>
      </c>
      <c r="N138" s="10">
        <f t="shared" si="13"/>
        <v>-1.7174967730224401E-2</v>
      </c>
      <c r="O138" s="7">
        <v>208.7383047087952</v>
      </c>
      <c r="P138" s="13">
        <v>5003</v>
      </c>
      <c r="Q138" s="13">
        <v>28542</v>
      </c>
      <c r="R138" s="22">
        <f t="shared" si="12"/>
        <v>-0.25963010038650103</v>
      </c>
      <c r="S138" s="9">
        <f t="shared" si="15"/>
        <v>5.7049770137917246</v>
      </c>
      <c r="T138" s="12">
        <v>167581.44334975447</v>
      </c>
    </row>
    <row r="139" spans="1:20" x14ac:dyDescent="0.45">
      <c r="A139" s="11">
        <v>42156</v>
      </c>
      <c r="B139" s="1">
        <v>6.3774506602852402E-2</v>
      </c>
      <c r="C139">
        <f>IF(B139&lt;2,0, 1)</f>
        <v>0</v>
      </c>
      <c r="D139">
        <v>20.8125</v>
      </c>
      <c r="E139" s="2">
        <v>1445030701</v>
      </c>
      <c r="F139" s="17">
        <f t="shared" si="16"/>
        <v>5.6563016585731783E-2</v>
      </c>
      <c r="G139" s="18">
        <v>150.74263155504897</v>
      </c>
      <c r="H139" s="19">
        <f t="shared" si="10"/>
        <v>4.2995719343257723E-2</v>
      </c>
      <c r="I139" s="20">
        <v>-0.06</v>
      </c>
      <c r="J139" s="21">
        <v>84.046616378826116</v>
      </c>
      <c r="K139" s="21">
        <f t="shared" si="14"/>
        <v>-37.57292744645315</v>
      </c>
      <c r="L139" s="5">
        <f t="shared" si="11"/>
        <v>-13.287564822095277</v>
      </c>
      <c r="M139" s="10">
        <v>-2.7784933856296701E-2</v>
      </c>
      <c r="N139" s="10">
        <f t="shared" si="13"/>
        <v>-1.7174967730224401E-2</v>
      </c>
      <c r="O139" s="7">
        <v>211.79828701235149</v>
      </c>
      <c r="P139" s="13">
        <v>5707</v>
      </c>
      <c r="Q139" s="13">
        <v>29278</v>
      </c>
      <c r="R139" s="22">
        <f t="shared" si="12"/>
        <v>-0.20880962032157813</v>
      </c>
      <c r="S139" s="9">
        <f t="shared" si="15"/>
        <v>5.1301909935167336</v>
      </c>
      <c r="T139" s="12">
        <v>167581.44334975447</v>
      </c>
    </row>
    <row r="140" spans="1:20" x14ac:dyDescent="0.45">
      <c r="A140" s="11">
        <v>42186</v>
      </c>
      <c r="B140" s="1">
        <v>0.28997423246630399</v>
      </c>
      <c r="C140">
        <f>IF(B140&lt;2,0, 1)</f>
        <v>0</v>
      </c>
      <c r="D140">
        <v>21.1875</v>
      </c>
      <c r="E140" s="2">
        <v>1481374939</v>
      </c>
      <c r="F140" s="17">
        <f t="shared" si="16"/>
        <v>2.5151187427954861E-2</v>
      </c>
      <c r="G140" s="18">
        <v>150.50491059299932</v>
      </c>
      <c r="H140" s="19">
        <f t="shared" si="10"/>
        <v>4.4363625047762575E-2</v>
      </c>
      <c r="I140" s="20">
        <v>-0.06</v>
      </c>
      <c r="J140" s="21">
        <v>80.362553099862254</v>
      </c>
      <c r="K140" s="21">
        <f t="shared" si="14"/>
        <v>-41.256990725417012</v>
      </c>
      <c r="L140" s="5">
        <f t="shared" si="11"/>
        <v>-15.873010850436955</v>
      </c>
      <c r="M140" s="10">
        <v>-2.8426101604599501E-2</v>
      </c>
      <c r="N140" s="10">
        <f t="shared" si="13"/>
        <v>-1.48978767377383E-2</v>
      </c>
      <c r="O140" s="7">
        <v>221.89612703044619</v>
      </c>
      <c r="P140" s="13">
        <v>5801</v>
      </c>
      <c r="Q140" s="13">
        <v>29003</v>
      </c>
      <c r="R140" s="22">
        <f t="shared" si="12"/>
        <v>-0.21717185349132229</v>
      </c>
      <c r="S140" s="9">
        <f t="shared" si="15"/>
        <v>4.9996552318565763</v>
      </c>
      <c r="T140" s="12">
        <v>171551.1084526059</v>
      </c>
    </row>
    <row r="141" spans="1:20" x14ac:dyDescent="0.45">
      <c r="A141" s="11">
        <v>42217</v>
      </c>
      <c r="B141" s="1">
        <v>0.3781350166008961</v>
      </c>
      <c r="C141">
        <f>IF(B141&lt;2,0, 1)</f>
        <v>0</v>
      </c>
      <c r="D141">
        <v>21.125</v>
      </c>
      <c r="E141" s="2">
        <v>1498897116</v>
      </c>
      <c r="F141" s="17">
        <f t="shared" si="16"/>
        <v>1.1828320122539888E-2</v>
      </c>
      <c r="G141" s="18">
        <v>150.24963989908437</v>
      </c>
      <c r="H141" s="19">
        <f t="shared" si="10"/>
        <v>4.7226105102761776E-2</v>
      </c>
      <c r="I141" s="20">
        <v>-0.06</v>
      </c>
      <c r="J141" s="21">
        <v>78.261964118318929</v>
      </c>
      <c r="K141" s="21">
        <f t="shared" si="14"/>
        <v>-43.357579706960337</v>
      </c>
      <c r="L141" s="5">
        <f t="shared" si="11"/>
        <v>-15.746743864571073</v>
      </c>
      <c r="M141" s="10">
        <v>-2.8426101604599501E-2</v>
      </c>
      <c r="N141" s="10">
        <f t="shared" si="13"/>
        <v>-1.48978767377383E-2</v>
      </c>
      <c r="O141" s="7">
        <v>208.91323459463101</v>
      </c>
      <c r="P141" s="13">
        <v>5605</v>
      </c>
      <c r="Q141" s="13">
        <v>28620</v>
      </c>
      <c r="R141" s="22">
        <f t="shared" si="12"/>
        <v>-0.21969573041060031</v>
      </c>
      <c r="S141" s="9">
        <f t="shared" si="15"/>
        <v>5.1061552185548615</v>
      </c>
      <c r="T141" s="12">
        <v>171551.1084526059</v>
      </c>
    </row>
    <row r="142" spans="1:20" x14ac:dyDescent="0.45">
      <c r="A142" s="11">
        <v>42248</v>
      </c>
      <c r="B142" s="1">
        <v>0.42290669606863063</v>
      </c>
      <c r="C142">
        <f>IF(B142&lt;2,0, 1)</f>
        <v>0</v>
      </c>
      <c r="D142">
        <v>21.125</v>
      </c>
      <c r="E142" s="2">
        <v>1523748515</v>
      </c>
      <c r="F142" s="17">
        <f t="shared" si="16"/>
        <v>1.6579789723206059E-2</v>
      </c>
      <c r="G142" s="18">
        <v>149.13069614536394</v>
      </c>
      <c r="H142" s="19">
        <f t="shared" si="10"/>
        <v>3.8554903035793599E-2</v>
      </c>
      <c r="I142" s="20">
        <v>-0.06</v>
      </c>
      <c r="J142" s="21">
        <v>75.250673550987855</v>
      </c>
      <c r="K142" s="21">
        <f t="shared" si="14"/>
        <v>-46.36887027429141</v>
      </c>
      <c r="L142" s="5">
        <f t="shared" si="11"/>
        <v>-22.715095761075219</v>
      </c>
      <c r="M142" s="10">
        <v>-2.8426101604599501E-2</v>
      </c>
      <c r="N142" s="10">
        <f t="shared" si="13"/>
        <v>-1.48978767377383E-2</v>
      </c>
      <c r="O142" s="7">
        <v>198.04178014211229</v>
      </c>
      <c r="P142" s="13">
        <v>5487</v>
      </c>
      <c r="Q142" s="13">
        <v>27866</v>
      </c>
      <c r="R142" s="22">
        <f t="shared" si="12"/>
        <v>-0.19789297947669904</v>
      </c>
      <c r="S142" s="9">
        <f t="shared" si="15"/>
        <v>5.0785492983415343</v>
      </c>
      <c r="T142" s="12">
        <v>171551.1084526059</v>
      </c>
    </row>
    <row r="143" spans="1:20" x14ac:dyDescent="0.45">
      <c r="A143" s="11">
        <v>42278</v>
      </c>
      <c r="B143" s="1">
        <v>3.7691096778595701</v>
      </c>
      <c r="C143">
        <f>IF(B143&lt;2,0, 1)</f>
        <v>1</v>
      </c>
      <c r="D143">
        <v>22.625</v>
      </c>
      <c r="E143" s="2">
        <v>1565255907</v>
      </c>
      <c r="F143" s="17">
        <f t="shared" si="16"/>
        <v>2.7240316621407832E-2</v>
      </c>
      <c r="G143" s="18">
        <v>149.25525225683347</v>
      </c>
      <c r="H143" s="19">
        <f t="shared" ref="H143:H206" si="17">(G143-G131)/G131</f>
        <v>3.8264627251342519E-2</v>
      </c>
      <c r="I143" s="20">
        <v>-0.06</v>
      </c>
      <c r="J143" s="21">
        <v>75.787572540566913</v>
      </c>
      <c r="K143" s="21">
        <f t="shared" si="14"/>
        <v>-45.831971284712353</v>
      </c>
      <c r="L143" s="5">
        <f t="shared" ref="L143:L206" si="18">K131</f>
        <v>-23.569822549775651</v>
      </c>
      <c r="M143" s="10">
        <v>-2.9661435454206801E-2</v>
      </c>
      <c r="N143" s="10">
        <f t="shared" si="13"/>
        <v>-1.97212746463322E-2</v>
      </c>
      <c r="O143" s="7">
        <v>199.13754353226491</v>
      </c>
      <c r="P143" s="13">
        <v>5058</v>
      </c>
      <c r="Q143" s="13">
        <v>28111</v>
      </c>
      <c r="R143" s="22">
        <f t="shared" ref="R143:R206" si="19">(Q143/Q131)-1</f>
        <v>-0.1540984593163216</v>
      </c>
      <c r="S143" s="9">
        <f t="shared" si="15"/>
        <v>5.557730328192962</v>
      </c>
      <c r="T143" s="12">
        <v>167411.83610726934</v>
      </c>
    </row>
    <row r="144" spans="1:20" x14ac:dyDescent="0.45">
      <c r="A144" s="11">
        <v>42309</v>
      </c>
      <c r="B144" s="1">
        <v>1.4529018488572421</v>
      </c>
      <c r="C144">
        <f>IF(B144&lt;2,0, 1)</f>
        <v>0</v>
      </c>
      <c r="D144">
        <v>23.875</v>
      </c>
      <c r="E144" s="2">
        <v>1633561410</v>
      </c>
      <c r="F144" s="17">
        <f t="shared" si="16"/>
        <v>4.3638553091881097E-2</v>
      </c>
      <c r="G144" s="18">
        <v>148.44161901695031</v>
      </c>
      <c r="H144" s="19">
        <f t="shared" si="17"/>
        <v>2.4758065327186666E-2</v>
      </c>
      <c r="I144" s="20">
        <v>-0.06</v>
      </c>
      <c r="J144" s="21">
        <v>74.049950627852297</v>
      </c>
      <c r="K144" s="21">
        <f t="shared" si="14"/>
        <v>-47.569593197426968</v>
      </c>
      <c r="L144" s="5">
        <f t="shared" si="18"/>
        <v>-26.877031333348327</v>
      </c>
      <c r="M144" s="10">
        <v>-2.9661435454206801E-2</v>
      </c>
      <c r="N144" s="10">
        <f t="shared" si="13"/>
        <v>-1.97212746463322E-2</v>
      </c>
      <c r="O144" s="7">
        <v>190.45046176031019</v>
      </c>
      <c r="P144" s="13">
        <v>4700</v>
      </c>
      <c r="Q144" s="13">
        <v>28911</v>
      </c>
      <c r="R144" s="22">
        <f t="shared" si="19"/>
        <v>-6.1300691580895461E-2</v>
      </c>
      <c r="S144" s="9">
        <f t="shared" si="15"/>
        <v>6.1512765957446804</v>
      </c>
      <c r="T144" s="12">
        <v>167411.83610726934</v>
      </c>
    </row>
    <row r="145" spans="1:20" x14ac:dyDescent="0.45">
      <c r="A145" s="11">
        <v>42339</v>
      </c>
      <c r="B145" s="1">
        <v>7.7336631753565399</v>
      </c>
      <c r="C145">
        <f>IF(B145&lt;2,0, 1)</f>
        <v>1</v>
      </c>
      <c r="D145">
        <v>27.25</v>
      </c>
      <c r="E145" s="2">
        <v>1761354705</v>
      </c>
      <c r="F145" s="17">
        <f t="shared" si="16"/>
        <v>7.8229868934036578E-2</v>
      </c>
      <c r="G145" s="18">
        <v>147.08139021270088</v>
      </c>
      <c r="H145" s="19">
        <f t="shared" si="17"/>
        <v>1.4553020587704218E-2</v>
      </c>
      <c r="I145" s="20">
        <v>-0.06</v>
      </c>
      <c r="J145" s="21">
        <v>94.864988060020636</v>
      </c>
      <c r="K145" s="21">
        <f t="shared" si="14"/>
        <v>-26.75455576525863</v>
      </c>
      <c r="L145" s="5">
        <f t="shared" si="18"/>
        <v>-29.605668567463368</v>
      </c>
      <c r="M145" s="10">
        <v>-2.9661435454206801E-2</v>
      </c>
      <c r="N145" s="10">
        <f t="shared" si="13"/>
        <v>-1.97212746463322E-2</v>
      </c>
      <c r="O145" s="7">
        <v>187.85339704947901</v>
      </c>
      <c r="P145" s="13">
        <v>4404</v>
      </c>
      <c r="Q145" s="13">
        <v>31443</v>
      </c>
      <c r="R145" s="22">
        <f t="shared" si="19"/>
        <v>2.7582600738586205E-2</v>
      </c>
      <c r="S145" s="9">
        <f t="shared" si="15"/>
        <v>7.1396457765667574</v>
      </c>
      <c r="T145" s="12">
        <v>167411.83610726934</v>
      </c>
    </row>
    <row r="146" spans="1:20" x14ac:dyDescent="0.45">
      <c r="A146" s="11">
        <v>42370</v>
      </c>
      <c r="B146" s="1">
        <v>-1.7018415383626264</v>
      </c>
      <c r="C146">
        <f>IF(B146&lt;2,0, 1)</f>
        <v>0</v>
      </c>
      <c r="D146">
        <v>26.3125</v>
      </c>
      <c r="E146" s="2">
        <v>1777064132</v>
      </c>
      <c r="F146" s="17">
        <f t="shared" si="16"/>
        <v>8.918945715706934E-3</v>
      </c>
      <c r="G146" s="18">
        <v>147.84196129372444</v>
      </c>
      <c r="H146" s="19">
        <f t="shared" si="17"/>
        <v>2.46842018999716E-2</v>
      </c>
      <c r="I146" s="20">
        <v>-6.6600000000000006E-2</v>
      </c>
      <c r="J146" s="21">
        <v>96.818420470327837</v>
      </c>
      <c r="K146" s="21">
        <f t="shared" si="14"/>
        <v>-24.801123354951429</v>
      </c>
      <c r="L146" s="5">
        <f t="shared" si="18"/>
        <v>-31.83002268826597</v>
      </c>
      <c r="M146" s="10">
        <v>-2.8156603743746199E-2</v>
      </c>
      <c r="N146" s="10">
        <f t="shared" si="13"/>
        <v>-2.3169341717751101E-2</v>
      </c>
      <c r="O146" s="7">
        <v>183.74243142171389</v>
      </c>
      <c r="P146" s="13">
        <v>4123</v>
      </c>
      <c r="Q146" s="13">
        <v>31452</v>
      </c>
      <c r="R146" s="22">
        <f t="shared" si="19"/>
        <v>0.13348709816923732</v>
      </c>
      <c r="S146" s="9">
        <f t="shared" si="15"/>
        <v>7.6284259034683481</v>
      </c>
      <c r="T146" s="12">
        <v>176643.53073650601</v>
      </c>
    </row>
    <row r="147" spans="1:20" x14ac:dyDescent="0.45">
      <c r="A147" s="11">
        <v>42401</v>
      </c>
      <c r="B147" s="1">
        <v>3.2774072526281453</v>
      </c>
      <c r="C147">
        <f>IF(B147&lt;2,0, 1)</f>
        <v>1</v>
      </c>
      <c r="D147">
        <v>26.25</v>
      </c>
      <c r="E147" s="2">
        <v>1782691823</v>
      </c>
      <c r="F147" s="17">
        <f t="shared" si="16"/>
        <v>3.1668474416093836E-3</v>
      </c>
      <c r="G147" s="18">
        <v>146.87976622874913</v>
      </c>
      <c r="H147" s="19">
        <f t="shared" si="17"/>
        <v>-7.6880445534841819E-3</v>
      </c>
      <c r="I147" s="20">
        <v>-6.6600000000000006E-2</v>
      </c>
      <c r="J147" s="21">
        <v>107.59761279836995</v>
      </c>
      <c r="K147" s="21">
        <f t="shared" si="14"/>
        <v>-14.021931026909314</v>
      </c>
      <c r="L147" s="5">
        <f t="shared" si="18"/>
        <v>-33.44199013126476</v>
      </c>
      <c r="M147" s="10">
        <v>-2.8156603743746199E-2</v>
      </c>
      <c r="N147" s="10">
        <f t="shared" si="13"/>
        <v>-2.3169341717751101E-2</v>
      </c>
      <c r="O147" s="7">
        <v>184.8391681036187</v>
      </c>
      <c r="P147" s="13">
        <v>4096</v>
      </c>
      <c r="Q147" s="13">
        <v>31470</v>
      </c>
      <c r="R147" s="22">
        <f t="shared" si="19"/>
        <v>0.14245262470050091</v>
      </c>
      <c r="S147" s="9">
        <f t="shared" si="15"/>
        <v>7.68310546875</v>
      </c>
      <c r="T147" s="12">
        <v>176643.53073650601</v>
      </c>
    </row>
    <row r="148" spans="1:20" x14ac:dyDescent="0.45">
      <c r="A148" s="11">
        <v>42430</v>
      </c>
      <c r="B148" s="1">
        <v>-0.8381458325058837</v>
      </c>
      <c r="C148">
        <f>IF(B148&lt;2,0, 1)</f>
        <v>0</v>
      </c>
      <c r="D148">
        <v>30.75</v>
      </c>
      <c r="E148" s="2">
        <v>1773871681</v>
      </c>
      <c r="F148" s="17">
        <f t="shared" si="16"/>
        <v>-4.9476538155411734E-3</v>
      </c>
      <c r="G148" s="18">
        <v>146.09089083381662</v>
      </c>
      <c r="H148" s="19">
        <f t="shared" si="17"/>
        <v>-1.0534578211685202E-2</v>
      </c>
      <c r="I148" s="20">
        <v>-6.6600000000000006E-2</v>
      </c>
      <c r="J148" s="21">
        <v>101.87258393662222</v>
      </c>
      <c r="K148" s="21">
        <f t="shared" si="14"/>
        <v>-19.746959888657045</v>
      </c>
      <c r="L148" s="5">
        <f t="shared" si="18"/>
        <v>-37.887622278262995</v>
      </c>
      <c r="M148" s="10">
        <v>-2.8156603743746199E-2</v>
      </c>
      <c r="N148" s="10">
        <f t="shared" si="13"/>
        <v>-2.3169341717751101E-2</v>
      </c>
      <c r="O148" s="7">
        <v>188.67794250490141</v>
      </c>
      <c r="P148" s="13">
        <v>4556</v>
      </c>
      <c r="Q148" s="13">
        <v>31490</v>
      </c>
      <c r="R148" s="22">
        <f t="shared" si="19"/>
        <v>0.16599400155515243</v>
      </c>
      <c r="S148" s="9">
        <f t="shared" si="15"/>
        <v>6.9117647058823533</v>
      </c>
      <c r="T148" s="12">
        <v>176643.53073650601</v>
      </c>
    </row>
    <row r="149" spans="1:20" x14ac:dyDescent="0.45">
      <c r="A149" s="11">
        <v>42461</v>
      </c>
      <c r="B149" s="1">
        <v>-3.0890873703136217</v>
      </c>
      <c r="C149">
        <f>IF(B149&lt;2,0, 1)</f>
        <v>0</v>
      </c>
      <c r="D149">
        <v>30.5625</v>
      </c>
      <c r="E149" s="2">
        <v>1757420781</v>
      </c>
      <c r="F149" s="17">
        <f t="shared" si="16"/>
        <v>-9.2740079094819263E-3</v>
      </c>
      <c r="G149" s="18">
        <v>144.7737046641044</v>
      </c>
      <c r="H149" s="19">
        <f t="shared" si="17"/>
        <v>-3.2424896590218209E-2</v>
      </c>
      <c r="I149" s="20">
        <v>-6.6600000000000006E-2</v>
      </c>
      <c r="J149" s="21">
        <v>95.528857434921036</v>
      </c>
      <c r="K149" s="21">
        <f t="shared" si="14"/>
        <v>-26.090686390358229</v>
      </c>
      <c r="L149" s="5">
        <f t="shared" si="18"/>
        <v>-36.034610167162867</v>
      </c>
      <c r="M149" s="10">
        <v>-2.7684002439585902E-2</v>
      </c>
      <c r="N149" s="10">
        <f t="shared" si="13"/>
        <v>-2.7784933856296701E-2</v>
      </c>
      <c r="O149" s="7">
        <v>198.64983211122711</v>
      </c>
      <c r="P149" s="13">
        <v>4423</v>
      </c>
      <c r="Q149" s="13">
        <v>33909</v>
      </c>
      <c r="R149" s="22">
        <f t="shared" si="19"/>
        <v>0.20159461374911403</v>
      </c>
      <c r="S149" s="9">
        <f t="shared" si="15"/>
        <v>7.6665159394076419</v>
      </c>
      <c r="T149" s="12">
        <v>176971.04170409331</v>
      </c>
    </row>
    <row r="150" spans="1:20" x14ac:dyDescent="0.45">
      <c r="A150" s="11">
        <v>42491</v>
      </c>
      <c r="B150" s="1">
        <v>1.7653996347111147</v>
      </c>
      <c r="C150">
        <f>IF(B150&lt;2,0, 1)</f>
        <v>0</v>
      </c>
      <c r="D150">
        <v>31.25</v>
      </c>
      <c r="E150" s="2">
        <v>1795025653</v>
      </c>
      <c r="F150" s="17">
        <f t="shared" si="16"/>
        <v>2.1397762224367369E-2</v>
      </c>
      <c r="G150" s="18">
        <v>144.52461691455167</v>
      </c>
      <c r="H150" s="19">
        <f t="shared" si="17"/>
        <v>-3.4719917820860716E-2</v>
      </c>
      <c r="I150" s="20">
        <v>-6.6600000000000006E-2</v>
      </c>
      <c r="J150" s="21">
        <v>88.02332739130577</v>
      </c>
      <c r="K150" s="21">
        <f t="shared" si="14"/>
        <v>-33.596216433973495</v>
      </c>
      <c r="L150" s="5">
        <f t="shared" si="18"/>
        <v>-38.550859672002531</v>
      </c>
      <c r="M150" s="10">
        <v>-2.7684002439585902E-2</v>
      </c>
      <c r="N150" s="10">
        <f t="shared" si="13"/>
        <v>-2.7784933856296701E-2</v>
      </c>
      <c r="O150" s="7">
        <v>217.26580081813421</v>
      </c>
      <c r="P150" s="13">
        <v>4874</v>
      </c>
      <c r="Q150" s="13">
        <v>33283</v>
      </c>
      <c r="R150" s="22">
        <f t="shared" si="19"/>
        <v>0.16610608927195014</v>
      </c>
      <c r="S150" s="9">
        <f t="shared" si="15"/>
        <v>6.8286828067295859</v>
      </c>
      <c r="T150" s="12">
        <v>176971.04170409331</v>
      </c>
    </row>
    <row r="151" spans="1:20" x14ac:dyDescent="0.45">
      <c r="A151" s="11">
        <v>42522</v>
      </c>
      <c r="B151" s="1">
        <v>0.16022989348727734</v>
      </c>
      <c r="C151">
        <f>IF(B151&lt;2,0, 1)</f>
        <v>0</v>
      </c>
      <c r="D151">
        <v>26.625</v>
      </c>
      <c r="E151" s="2">
        <v>1902680873</v>
      </c>
      <c r="F151" s="17">
        <f t="shared" si="16"/>
        <v>5.9974195811674007E-2</v>
      </c>
      <c r="G151" s="18">
        <v>144.34171701305883</v>
      </c>
      <c r="H151" s="19">
        <f t="shared" si="17"/>
        <v>-4.2462536814959533E-2</v>
      </c>
      <c r="I151" s="20">
        <v>-6.6600000000000006E-2</v>
      </c>
      <c r="J151" s="21">
        <v>95.205452423073311</v>
      </c>
      <c r="K151" s="21">
        <f t="shared" si="14"/>
        <v>-26.414091402205955</v>
      </c>
      <c r="L151" s="5">
        <f t="shared" si="18"/>
        <v>-37.57292744645315</v>
      </c>
      <c r="M151" s="10">
        <v>-2.7684002439585902E-2</v>
      </c>
      <c r="N151" s="10">
        <f t="shared" si="13"/>
        <v>-2.7784933856296701E-2</v>
      </c>
      <c r="O151" s="7">
        <v>226.9934163775082</v>
      </c>
      <c r="P151" s="13">
        <v>5046</v>
      </c>
      <c r="Q151" s="13">
        <v>33851</v>
      </c>
      <c r="R151" s="22">
        <f t="shared" si="19"/>
        <v>0.15619236286631599</v>
      </c>
      <c r="S151" s="9">
        <f t="shared" si="15"/>
        <v>6.7084819659135952</v>
      </c>
      <c r="T151" s="12">
        <v>176971.04170409331</v>
      </c>
    </row>
    <row r="152" spans="1:20" x14ac:dyDescent="0.45">
      <c r="A152" s="11">
        <v>42552</v>
      </c>
      <c r="B152" s="1">
        <v>-1.1377128448834477</v>
      </c>
      <c r="C152">
        <f>IF(B152&lt;2,0, 1)</f>
        <v>0</v>
      </c>
      <c r="D152">
        <v>25.625</v>
      </c>
      <c r="E152" s="2">
        <v>1925708143</v>
      </c>
      <c r="F152" s="17">
        <f t="shared" si="16"/>
        <v>1.2102539278535124E-2</v>
      </c>
      <c r="G152" s="18">
        <v>144.52330428100348</v>
      </c>
      <c r="H152" s="19">
        <f t="shared" si="17"/>
        <v>-3.9743595663609389E-2</v>
      </c>
      <c r="I152" s="20">
        <v>-6.6600000000000006E-2</v>
      </c>
      <c r="J152" s="21">
        <v>93.408308283221047</v>
      </c>
      <c r="K152" s="21">
        <f t="shared" si="14"/>
        <v>-28.211235542058219</v>
      </c>
      <c r="L152" s="5">
        <f t="shared" si="18"/>
        <v>-41.256990725417012</v>
      </c>
      <c r="M152" s="10">
        <v>-2.9856609199260399E-2</v>
      </c>
      <c r="N152" s="10">
        <f t="shared" si="13"/>
        <v>-2.8426101604599501E-2</v>
      </c>
      <c r="O152" s="7">
        <v>212.17101814245331</v>
      </c>
      <c r="P152" s="13">
        <v>4718</v>
      </c>
      <c r="Q152" s="13">
        <v>33943</v>
      </c>
      <c r="R152" s="22">
        <f t="shared" si="19"/>
        <v>0.17032720753025554</v>
      </c>
      <c r="S152" s="9">
        <f t="shared" si="15"/>
        <v>7.1943620178041545</v>
      </c>
      <c r="T152" s="12">
        <v>179954.61149187878</v>
      </c>
    </row>
    <row r="153" spans="1:20" x14ac:dyDescent="0.45">
      <c r="A153" s="11">
        <v>42583</v>
      </c>
      <c r="B153" s="1">
        <v>8.2094283091430853E-2</v>
      </c>
      <c r="C153">
        <f>IF(B153&lt;2,0, 1)</f>
        <v>0</v>
      </c>
      <c r="D153">
        <v>24</v>
      </c>
      <c r="E153" s="2">
        <v>1942995036</v>
      </c>
      <c r="F153" s="17">
        <f t="shared" si="16"/>
        <v>8.9769018544364129E-3</v>
      </c>
      <c r="G153" s="18">
        <v>145.70061518309487</v>
      </c>
      <c r="H153" s="19">
        <f t="shared" si="17"/>
        <v>-3.0276443384788607E-2</v>
      </c>
      <c r="I153" s="20">
        <v>-6.6600000000000006E-2</v>
      </c>
      <c r="J153" s="21">
        <v>92.863461459209361</v>
      </c>
      <c r="K153" s="21">
        <f t="shared" si="14"/>
        <v>-28.756082366069904</v>
      </c>
      <c r="L153" s="5">
        <f t="shared" si="18"/>
        <v>-43.357579706960337</v>
      </c>
      <c r="M153" s="10">
        <v>-2.9856609199260399E-2</v>
      </c>
      <c r="N153" s="10">
        <f t="shared" si="13"/>
        <v>-2.8426101604599501E-2</v>
      </c>
      <c r="O153" s="7">
        <v>204.2826473433492</v>
      </c>
      <c r="P153" s="13">
        <v>5174</v>
      </c>
      <c r="Q153" s="13">
        <v>33606</v>
      </c>
      <c r="R153" s="22">
        <f t="shared" si="19"/>
        <v>0.17421383647798749</v>
      </c>
      <c r="S153" s="9">
        <f t="shared" si="15"/>
        <v>6.4951681484344803</v>
      </c>
      <c r="T153" s="12">
        <v>179954.61149187878</v>
      </c>
    </row>
    <row r="154" spans="1:20" x14ac:dyDescent="0.45">
      <c r="A154" s="11">
        <v>42614</v>
      </c>
      <c r="B154" s="1">
        <v>0.63931720525842084</v>
      </c>
      <c r="C154">
        <f>IF(B154&lt;2,0, 1)</f>
        <v>0</v>
      </c>
      <c r="D154">
        <v>22.1875</v>
      </c>
      <c r="E154" s="2">
        <v>1965033728</v>
      </c>
      <c r="F154" s="17">
        <f t="shared" si="16"/>
        <v>1.1342639374607234E-2</v>
      </c>
      <c r="G154" s="18">
        <v>145.0430604078947</v>
      </c>
      <c r="H154" s="19">
        <f t="shared" si="17"/>
        <v>-2.7409754283483339E-2</v>
      </c>
      <c r="I154" s="20">
        <v>-6.6600000000000006E-2</v>
      </c>
      <c r="J154" s="21">
        <v>94.23859809787001</v>
      </c>
      <c r="K154" s="21">
        <f t="shared" si="14"/>
        <v>-27.380945727409255</v>
      </c>
      <c r="L154" s="5">
        <f t="shared" si="18"/>
        <v>-46.36887027429141</v>
      </c>
      <c r="M154" s="10">
        <v>-2.9856609199260399E-2</v>
      </c>
      <c r="N154" s="10">
        <f t="shared" si="13"/>
        <v>-2.8426101604599501E-2</v>
      </c>
      <c r="O154" s="7">
        <v>201.86641505436759</v>
      </c>
      <c r="P154" s="13">
        <v>4741</v>
      </c>
      <c r="Q154" s="13">
        <v>33257</v>
      </c>
      <c r="R154" s="22">
        <f t="shared" si="19"/>
        <v>0.19346156606617382</v>
      </c>
      <c r="S154" s="9">
        <f t="shared" si="15"/>
        <v>7.0147648175490405</v>
      </c>
      <c r="T154" s="12">
        <v>179954.61149187878</v>
      </c>
    </row>
    <row r="155" spans="1:20" x14ac:dyDescent="0.45">
      <c r="A155" s="11">
        <v>42644</v>
      </c>
      <c r="B155" s="1">
        <v>-4.1738210076662359</v>
      </c>
      <c r="C155">
        <f>IF(B155&lt;2,0, 1)</f>
        <v>0</v>
      </c>
      <c r="D155">
        <v>21.75</v>
      </c>
      <c r="E155" s="2">
        <v>2149321517</v>
      </c>
      <c r="F155" s="17">
        <f t="shared" si="16"/>
        <v>9.3783524615410577E-2</v>
      </c>
      <c r="G155" s="18">
        <v>145.01401685008679</v>
      </c>
      <c r="H155" s="19">
        <f t="shared" si="17"/>
        <v>-2.841598766285628E-2</v>
      </c>
      <c r="I155" s="20">
        <v>-6.6600000000000006E-2</v>
      </c>
      <c r="J155" s="21">
        <v>90.802878096022383</v>
      </c>
      <c r="K155" s="21">
        <f t="shared" si="14"/>
        <v>-30.816665729256883</v>
      </c>
      <c r="L155" s="5">
        <f t="shared" si="18"/>
        <v>-45.831971284712353</v>
      </c>
      <c r="M155" s="10">
        <v>-3.4749775559593597E-2</v>
      </c>
      <c r="N155" s="10">
        <f t="shared" si="13"/>
        <v>-2.9661435454206801E-2</v>
      </c>
      <c r="O155" s="7">
        <v>201.81017094688539</v>
      </c>
      <c r="P155" s="13">
        <v>4783</v>
      </c>
      <c r="Q155" s="13">
        <v>26970</v>
      </c>
      <c r="R155" s="22">
        <f t="shared" si="19"/>
        <v>-4.0589093237522689E-2</v>
      </c>
      <c r="S155" s="9">
        <f t="shared" si="15"/>
        <v>5.6387204683253191</v>
      </c>
      <c r="T155" s="12">
        <v>181432.36449070822</v>
      </c>
    </row>
    <row r="156" spans="1:20" x14ac:dyDescent="0.45">
      <c r="A156" s="11">
        <v>42675</v>
      </c>
      <c r="B156" s="1">
        <v>0.39799376042027129</v>
      </c>
      <c r="C156">
        <f>IF(B156&lt;2,0, 1)</f>
        <v>0</v>
      </c>
      <c r="D156">
        <v>20.375</v>
      </c>
      <c r="E156" s="2">
        <v>2228873800</v>
      </c>
      <c r="F156" s="17">
        <f t="shared" si="16"/>
        <v>3.7012742100604019E-2</v>
      </c>
      <c r="G156" s="18">
        <v>145.76566188446029</v>
      </c>
      <c r="H156" s="19">
        <f t="shared" si="17"/>
        <v>-1.8027000447795326E-2</v>
      </c>
      <c r="I156" s="20">
        <v>-6.6600000000000006E-2</v>
      </c>
      <c r="J156" s="21">
        <v>90.420884116631626</v>
      </c>
      <c r="K156" s="21">
        <f t="shared" si="14"/>
        <v>-31.198659708647639</v>
      </c>
      <c r="L156" s="5">
        <f t="shared" si="18"/>
        <v>-47.569593197426968</v>
      </c>
      <c r="M156" s="10">
        <v>-3.4749775559593597E-2</v>
      </c>
      <c r="N156" s="10">
        <f t="shared" si="13"/>
        <v>-2.9661435454206801E-2</v>
      </c>
      <c r="O156" s="7">
        <v>203.37423517308801</v>
      </c>
      <c r="P156" s="13">
        <v>4723</v>
      </c>
      <c r="Q156" s="13">
        <v>25615</v>
      </c>
      <c r="R156" s="22">
        <f t="shared" si="19"/>
        <v>-0.11400504998097605</v>
      </c>
      <c r="S156" s="9">
        <f t="shared" si="15"/>
        <v>5.4234596654668641</v>
      </c>
      <c r="T156" s="12">
        <v>181432.36449070822</v>
      </c>
    </row>
    <row r="157" spans="1:20" x14ac:dyDescent="0.45">
      <c r="A157" s="11">
        <v>42705</v>
      </c>
      <c r="B157" s="1">
        <v>-0.97519761182043274</v>
      </c>
      <c r="C157">
        <f>IF(B157&lt;2,0, 1)</f>
        <v>0</v>
      </c>
      <c r="D157">
        <v>19.875</v>
      </c>
      <c r="E157" s="2">
        <v>2422522377</v>
      </c>
      <c r="F157" s="17">
        <f t="shared" si="16"/>
        <v>8.6881804164955417E-2</v>
      </c>
      <c r="G157" s="18">
        <v>147.07203819437197</v>
      </c>
      <c r="H157" s="19">
        <f t="shared" si="17"/>
        <v>-6.3583967457658382E-5</v>
      </c>
      <c r="I157" s="20">
        <v>-6.6600000000000006E-2</v>
      </c>
      <c r="J157" s="21">
        <v>90.627177543796606</v>
      </c>
      <c r="K157" s="21">
        <f t="shared" si="14"/>
        <v>-30.99236628148266</v>
      </c>
      <c r="L157" s="5">
        <f t="shared" si="18"/>
        <v>-26.75455576525863</v>
      </c>
      <c r="M157" s="10">
        <v>-3.4749775559593597E-2</v>
      </c>
      <c r="N157" s="10">
        <f t="shared" si="13"/>
        <v>-2.9661435454206801E-2</v>
      </c>
      <c r="O157" s="7">
        <v>205.25153955247799</v>
      </c>
      <c r="P157" s="13">
        <v>4595</v>
      </c>
      <c r="Q157" s="13">
        <v>25563</v>
      </c>
      <c r="R157" s="22">
        <f t="shared" si="19"/>
        <v>-0.18700505676939227</v>
      </c>
      <c r="S157" s="9">
        <f t="shared" si="15"/>
        <v>5.5632208922742112</v>
      </c>
      <c r="T157" s="12">
        <v>181432.36449070822</v>
      </c>
    </row>
    <row r="158" spans="1:20" x14ac:dyDescent="0.45">
      <c r="A158" s="11">
        <v>42736</v>
      </c>
      <c r="B158" s="1">
        <v>-3.1870129902326347</v>
      </c>
      <c r="C158">
        <f>IF(B158&lt;2,0, 1)</f>
        <v>0</v>
      </c>
      <c r="D158">
        <v>19.375</v>
      </c>
      <c r="E158" s="2">
        <v>2504277605</v>
      </c>
      <c r="F158" s="17">
        <f t="shared" si="16"/>
        <v>3.3747976396917304E-2</v>
      </c>
      <c r="G158" s="18">
        <v>147.24253876817255</v>
      </c>
      <c r="H158" s="19">
        <f t="shared" si="17"/>
        <v>-4.0544816931979595E-3</v>
      </c>
      <c r="I158" s="20">
        <v>-6.6900000000000001E-2</v>
      </c>
      <c r="J158" s="21">
        <v>91.246665595316017</v>
      </c>
      <c r="K158" s="21">
        <f t="shared" si="14"/>
        <v>-30.372878229963248</v>
      </c>
      <c r="L158" s="5">
        <f t="shared" si="18"/>
        <v>-24.801123354951429</v>
      </c>
      <c r="M158" s="10">
        <v>-4.2221342570842299E-2</v>
      </c>
      <c r="N158" s="10">
        <f t="shared" si="13"/>
        <v>-2.8156603743746199E-2</v>
      </c>
      <c r="O158" s="7">
        <v>208.61959613492971</v>
      </c>
      <c r="P158" s="13">
        <v>4344</v>
      </c>
      <c r="Q158" s="13">
        <v>30074</v>
      </c>
      <c r="R158" s="22">
        <f t="shared" si="19"/>
        <v>-4.3812794098944452E-2</v>
      </c>
      <c r="S158" s="9">
        <f t="shared" si="15"/>
        <v>6.9231123388581954</v>
      </c>
      <c r="T158" s="12">
        <v>199161.10327354778</v>
      </c>
    </row>
    <row r="159" spans="1:20" x14ac:dyDescent="0.45">
      <c r="A159" s="11">
        <v>42767</v>
      </c>
      <c r="B159" s="1">
        <v>-1.5683722317590285</v>
      </c>
      <c r="C159">
        <f>IF(B159&lt;2,0, 1)</f>
        <v>0</v>
      </c>
      <c r="D159">
        <v>20.1875</v>
      </c>
      <c r="E159" s="2">
        <v>2540817026</v>
      </c>
      <c r="F159" s="17">
        <f t="shared" si="16"/>
        <v>1.4590802923384367E-2</v>
      </c>
      <c r="G159" s="18">
        <v>146.78394220614524</v>
      </c>
      <c r="H159" s="19">
        <f t="shared" si="17"/>
        <v>-6.5239770639787811E-4</v>
      </c>
      <c r="I159" s="20">
        <v>-6.6900000000000001E-2</v>
      </c>
      <c r="J159" s="21">
        <v>87.726907179429531</v>
      </c>
      <c r="K159" s="21">
        <f t="shared" si="14"/>
        <v>-33.892636645849734</v>
      </c>
      <c r="L159" s="5">
        <f t="shared" si="18"/>
        <v>-14.021931026909314</v>
      </c>
      <c r="M159" s="10">
        <v>-4.2221342570842299E-2</v>
      </c>
      <c r="N159" s="10">
        <f t="shared" si="13"/>
        <v>-2.8156603743746199E-2</v>
      </c>
      <c r="O159" s="7">
        <v>208.15514342573729</v>
      </c>
      <c r="P159" s="13">
        <v>4117</v>
      </c>
      <c r="Q159" s="13">
        <v>28399</v>
      </c>
      <c r="R159" s="22">
        <f t="shared" si="19"/>
        <v>-9.7585001588814779E-2</v>
      </c>
      <c r="S159" s="9">
        <f t="shared" si="15"/>
        <v>6.8979839689093998</v>
      </c>
      <c r="T159" s="12">
        <v>199161.10327354778</v>
      </c>
    </row>
    <row r="160" spans="1:20" x14ac:dyDescent="0.45">
      <c r="A160" s="11">
        <v>42795</v>
      </c>
      <c r="B160" s="1">
        <v>-0.43255635388317254</v>
      </c>
      <c r="C160">
        <f>IF(B160&lt;2,0, 1)</f>
        <v>0</v>
      </c>
      <c r="D160">
        <v>19.0625</v>
      </c>
      <c r="E160" s="2">
        <v>2553590098</v>
      </c>
      <c r="F160" s="17">
        <f t="shared" si="16"/>
        <v>5.0271514514008929E-3</v>
      </c>
      <c r="G160" s="18">
        <v>147.65895433906914</v>
      </c>
      <c r="H160" s="19">
        <f t="shared" si="17"/>
        <v>1.0733478975333586E-2</v>
      </c>
      <c r="I160" s="20">
        <v>-6.6900000000000001E-2</v>
      </c>
      <c r="J160" s="21">
        <v>85.315078912869154</v>
      </c>
      <c r="K160" s="21">
        <f t="shared" si="14"/>
        <v>-36.304464912410111</v>
      </c>
      <c r="L160" s="5">
        <f t="shared" si="18"/>
        <v>-19.746959888657045</v>
      </c>
      <c r="M160" s="10">
        <v>-4.2221342570842299E-2</v>
      </c>
      <c r="N160" s="10">
        <f t="shared" si="13"/>
        <v>-2.8156603743746199E-2</v>
      </c>
      <c r="O160" s="7">
        <v>203.2683017333031</v>
      </c>
      <c r="P160" s="13">
        <v>5475</v>
      </c>
      <c r="Q160" s="13">
        <v>29572</v>
      </c>
      <c r="R160" s="22">
        <f t="shared" si="19"/>
        <v>-6.09082248332804E-2</v>
      </c>
      <c r="S160" s="9">
        <f t="shared" si="15"/>
        <v>5.4012785388127851</v>
      </c>
      <c r="T160" s="12">
        <v>199161.10327354778</v>
      </c>
    </row>
    <row r="161" spans="1:20" x14ac:dyDescent="0.45">
      <c r="A161" s="11">
        <v>42826</v>
      </c>
      <c r="B161" s="1">
        <v>1.1134881747660965</v>
      </c>
      <c r="C161">
        <f>IF(B161&lt;2,0, 1)</f>
        <v>0</v>
      </c>
      <c r="D161">
        <v>20</v>
      </c>
      <c r="E161" s="2">
        <v>2491696187</v>
      </c>
      <c r="F161" s="17">
        <f t="shared" si="16"/>
        <v>-2.4237997730519083E-2</v>
      </c>
      <c r="G161" s="18">
        <v>147.71814543562604</v>
      </c>
      <c r="H161" s="19">
        <f t="shared" si="17"/>
        <v>2.0338229088999023E-2</v>
      </c>
      <c r="I161" s="20">
        <v>-6.6900000000000001E-2</v>
      </c>
      <c r="J161" s="21">
        <v>83.201897661516256</v>
      </c>
      <c r="K161" s="21">
        <f t="shared" si="14"/>
        <v>-38.41764616376301</v>
      </c>
      <c r="L161" s="5">
        <f t="shared" si="18"/>
        <v>-26.090686390358229</v>
      </c>
      <c r="M161" s="10">
        <v>-4.8495418607989997E-2</v>
      </c>
      <c r="N161" s="10">
        <f t="shared" si="13"/>
        <v>-2.7684002439585902E-2</v>
      </c>
      <c r="O161" s="7">
        <v>197.7366079123164</v>
      </c>
      <c r="P161" s="13">
        <v>4973</v>
      </c>
      <c r="Q161" s="13">
        <v>34380</v>
      </c>
      <c r="R161" s="22">
        <f t="shared" si="19"/>
        <v>1.3890117667875845E-2</v>
      </c>
      <c r="S161" s="9">
        <f t="shared" si="15"/>
        <v>6.9133319927609085</v>
      </c>
      <c r="T161" s="12">
        <v>204914.41583986254</v>
      </c>
    </row>
    <row r="162" spans="1:20" x14ac:dyDescent="0.45">
      <c r="A162" s="11">
        <v>42856</v>
      </c>
      <c r="B162" s="1">
        <v>1.6233293352377995</v>
      </c>
      <c r="C162">
        <f>IF(B162&lt;2,0, 1)</f>
        <v>0</v>
      </c>
      <c r="D162">
        <v>20.0625</v>
      </c>
      <c r="E162" s="2">
        <v>2490860408</v>
      </c>
      <c r="F162" s="17">
        <f t="shared" si="16"/>
        <v>-3.3542572499831017E-4</v>
      </c>
      <c r="G162" s="18">
        <v>148.5787617011824</v>
      </c>
      <c r="H162" s="19">
        <f t="shared" si="17"/>
        <v>2.8051586457604593E-2</v>
      </c>
      <c r="I162" s="20">
        <v>-6.6900000000000001E-2</v>
      </c>
      <c r="J162" s="21">
        <v>86.12548372067512</v>
      </c>
      <c r="K162" s="21">
        <f t="shared" si="14"/>
        <v>-35.494060104604145</v>
      </c>
      <c r="L162" s="5">
        <f t="shared" si="18"/>
        <v>-33.596216433973495</v>
      </c>
      <c r="M162" s="10">
        <v>-4.8495418607989997E-2</v>
      </c>
      <c r="N162" s="10">
        <f t="shared" si="13"/>
        <v>-2.7684002439585902E-2</v>
      </c>
      <c r="O162" s="7">
        <v>200.11964927071639</v>
      </c>
      <c r="P162" s="13">
        <v>6064</v>
      </c>
      <c r="Q162" s="13">
        <v>30171</v>
      </c>
      <c r="R162" s="22">
        <f t="shared" si="19"/>
        <v>-9.350118679205599E-2</v>
      </c>
      <c r="S162" s="9">
        <f t="shared" si="15"/>
        <v>4.9754287598944593</v>
      </c>
      <c r="T162" s="12">
        <v>204914.41583986254</v>
      </c>
    </row>
    <row r="163" spans="1:20" x14ac:dyDescent="0.45">
      <c r="A163" s="11">
        <v>42887</v>
      </c>
      <c r="B163" s="1">
        <v>-5.9198941745470877E-2</v>
      </c>
      <c r="C163">
        <f>IF(B163&lt;2,0, 1)</f>
        <v>0</v>
      </c>
      <c r="D163">
        <v>20.125</v>
      </c>
      <c r="E163" s="2">
        <v>2599120694</v>
      </c>
      <c r="F163" s="17">
        <f t="shared" si="16"/>
        <v>4.3463008064320241E-2</v>
      </c>
      <c r="G163" s="18">
        <v>150.18280365473419</v>
      </c>
      <c r="H163" s="19">
        <f t="shared" si="17"/>
        <v>4.0467071907887224E-2</v>
      </c>
      <c r="I163" s="20">
        <v>-6.6900000000000001E-2</v>
      </c>
      <c r="J163" s="21">
        <v>87.846221178949875</v>
      </c>
      <c r="K163" s="21">
        <f t="shared" si="14"/>
        <v>-33.77332264632939</v>
      </c>
      <c r="L163" s="5">
        <f t="shared" si="18"/>
        <v>-26.414091402205955</v>
      </c>
      <c r="M163" s="10">
        <v>-4.8495418607989997E-2</v>
      </c>
      <c r="N163" s="10">
        <f t="shared" si="13"/>
        <v>-2.7684002439585902E-2</v>
      </c>
      <c r="O163" s="7">
        <v>198.86672898912781</v>
      </c>
      <c r="P163" s="13">
        <v>5898</v>
      </c>
      <c r="Q163" s="13">
        <v>30507</v>
      </c>
      <c r="R163" s="22">
        <f t="shared" si="19"/>
        <v>-9.8785855661575717E-2</v>
      </c>
      <c r="S163" s="9">
        <f t="shared" si="15"/>
        <v>5.1724313326551377</v>
      </c>
      <c r="T163" s="12">
        <v>204914.41583986254</v>
      </c>
    </row>
    <row r="164" spans="1:20" x14ac:dyDescent="0.45">
      <c r="A164" s="11">
        <v>42917</v>
      </c>
      <c r="B164" s="1">
        <v>1.7862078777884633</v>
      </c>
      <c r="C164">
        <f>IF(B164&lt;2,0, 1)</f>
        <v>0</v>
      </c>
      <c r="D164">
        <v>20.6875</v>
      </c>
      <c r="E164" s="2">
        <v>2695946344</v>
      </c>
      <c r="F164" s="17">
        <f t="shared" si="16"/>
        <v>3.7253233458345893E-2</v>
      </c>
      <c r="G164" s="18">
        <v>150.42453192186653</v>
      </c>
      <c r="H164" s="19">
        <f t="shared" si="17"/>
        <v>4.0832360360298851E-2</v>
      </c>
      <c r="I164" s="20">
        <v>-6.6900000000000001E-2</v>
      </c>
      <c r="J164" s="21">
        <v>94.431754943686315</v>
      </c>
      <c r="K164" s="21">
        <f t="shared" si="14"/>
        <v>-27.187788881592951</v>
      </c>
      <c r="L164" s="5">
        <f t="shared" si="18"/>
        <v>-28.211235542058219</v>
      </c>
      <c r="M164" s="10">
        <v>-5.1068245769830697E-2</v>
      </c>
      <c r="N164" s="10">
        <f t="shared" si="13"/>
        <v>-2.9856609199260399E-2</v>
      </c>
      <c r="O164" s="7">
        <v>204.33842410503041</v>
      </c>
      <c r="P164" s="13">
        <v>6043</v>
      </c>
      <c r="Q164" s="13">
        <v>32511</v>
      </c>
      <c r="R164" s="22">
        <f t="shared" si="19"/>
        <v>-4.2188374628052916E-2</v>
      </c>
      <c r="S164" s="9">
        <f t="shared" si="15"/>
        <v>5.3799437365546909</v>
      </c>
      <c r="T164" s="12">
        <v>217509.91605579518</v>
      </c>
    </row>
    <row r="165" spans="1:20" x14ac:dyDescent="0.45">
      <c r="A165" s="11">
        <v>42948</v>
      </c>
      <c r="B165" s="1">
        <v>-0.81903368423358991</v>
      </c>
      <c r="C165">
        <f>IF(B165&lt;2,0, 1)</f>
        <v>0</v>
      </c>
      <c r="D165">
        <v>21.1875</v>
      </c>
      <c r="E165" s="2">
        <v>2736636982</v>
      </c>
      <c r="F165" s="17">
        <f t="shared" si="16"/>
        <v>1.5093267004575073E-2</v>
      </c>
      <c r="G165" s="18">
        <v>150.50486112526931</v>
      </c>
      <c r="H165" s="19">
        <f t="shared" si="17"/>
        <v>3.297340876795328E-2</v>
      </c>
      <c r="I165" s="20">
        <v>-6.6900000000000001E-2</v>
      </c>
      <c r="J165" s="21">
        <v>91.990208278497946</v>
      </c>
      <c r="K165" s="21">
        <f t="shared" si="14"/>
        <v>-29.62933554678132</v>
      </c>
      <c r="L165" s="5">
        <f t="shared" si="18"/>
        <v>-28.756082366069904</v>
      </c>
      <c r="M165" s="10">
        <v>-5.1068245769830697E-2</v>
      </c>
      <c r="N165" s="10">
        <f t="shared" si="13"/>
        <v>-2.9856609199260399E-2</v>
      </c>
      <c r="O165" s="7">
        <v>199.70943442997151</v>
      </c>
      <c r="P165" s="13">
        <v>6317</v>
      </c>
      <c r="Q165" s="13">
        <v>31150</v>
      </c>
      <c r="R165" s="22">
        <f t="shared" si="19"/>
        <v>-7.3082187704576529E-2</v>
      </c>
      <c r="S165" s="9">
        <f t="shared" si="15"/>
        <v>4.9311381985119516</v>
      </c>
      <c r="T165" s="12">
        <v>217509.91605579518</v>
      </c>
    </row>
    <row r="166" spans="1:20" x14ac:dyDescent="0.45">
      <c r="A166" s="11">
        <v>42979</v>
      </c>
      <c r="B166" s="1">
        <v>-0.33436985865377278</v>
      </c>
      <c r="C166">
        <f>IF(B166&lt;2,0, 1)</f>
        <v>0</v>
      </c>
      <c r="D166">
        <v>21.75</v>
      </c>
      <c r="E166" s="2">
        <v>2742934250</v>
      </c>
      <c r="F166" s="17">
        <f t="shared" si="16"/>
        <v>2.3010973108306843E-3</v>
      </c>
      <c r="G166" s="18">
        <v>151.20242677306254</v>
      </c>
      <c r="H166" s="19">
        <f t="shared" si="17"/>
        <v>4.2465777734186493E-2</v>
      </c>
      <c r="I166" s="20">
        <v>-6.6900000000000001E-2</v>
      </c>
      <c r="J166" s="21">
        <v>89.702294193754909</v>
      </c>
      <c r="K166" s="21">
        <f t="shared" si="14"/>
        <v>-31.917249631524356</v>
      </c>
      <c r="L166" s="5">
        <f t="shared" si="18"/>
        <v>-27.380945727409255</v>
      </c>
      <c r="M166" s="10">
        <v>-5.1068245769830697E-2</v>
      </c>
      <c r="N166" s="10">
        <f t="shared" si="13"/>
        <v>-2.9856609199260399E-2</v>
      </c>
      <c r="O166" s="7">
        <v>202.16727735183201</v>
      </c>
      <c r="P166" s="13">
        <v>5968</v>
      </c>
      <c r="Q166" s="13">
        <v>29902</v>
      </c>
      <c r="R166" s="22">
        <f t="shared" si="19"/>
        <v>-0.100881017530144</v>
      </c>
      <c r="S166" s="9">
        <f t="shared" si="15"/>
        <v>5.0103887399463805</v>
      </c>
      <c r="T166" s="12">
        <v>217509.91605579518</v>
      </c>
    </row>
    <row r="167" spans="1:20" x14ac:dyDescent="0.45">
      <c r="A167" s="11">
        <v>43009</v>
      </c>
      <c r="B167" s="1">
        <v>4.4576043038843716E-2</v>
      </c>
      <c r="C167">
        <f>IF(B167&lt;2,0, 1)</f>
        <v>0</v>
      </c>
      <c r="D167">
        <v>22.25</v>
      </c>
      <c r="E167" s="2">
        <v>2759226132</v>
      </c>
      <c r="F167" s="17">
        <f t="shared" si="16"/>
        <v>5.9395816724370993E-3</v>
      </c>
      <c r="G167" s="18">
        <v>151.64710637360594</v>
      </c>
      <c r="H167" s="19">
        <f t="shared" si="17"/>
        <v>4.5741023299674055E-2</v>
      </c>
      <c r="I167" s="20">
        <v>-6.6900000000000001E-2</v>
      </c>
      <c r="J167" s="21">
        <v>88.742214401119995</v>
      </c>
      <c r="K167" s="21">
        <f t="shared" si="14"/>
        <v>-32.877329424159271</v>
      </c>
      <c r="L167" s="5">
        <f t="shared" si="18"/>
        <v>-30.816665729256883</v>
      </c>
      <c r="M167" s="10">
        <v>-5.4957581867585099E-2</v>
      </c>
      <c r="N167" s="10">
        <f t="shared" si="13"/>
        <v>-3.4749775559593597E-2</v>
      </c>
      <c r="O167" s="7">
        <v>203.7070534273939</v>
      </c>
      <c r="P167" s="13">
        <v>6209</v>
      </c>
      <c r="Q167" s="13">
        <v>37210</v>
      </c>
      <c r="R167" s="22">
        <f t="shared" si="19"/>
        <v>0.37968112717834623</v>
      </c>
      <c r="S167" s="9">
        <f t="shared" si="15"/>
        <v>5.9929135126429376</v>
      </c>
      <c r="T167" s="12">
        <v>234548.94643719122</v>
      </c>
    </row>
    <row r="168" spans="1:20" x14ac:dyDescent="0.45">
      <c r="A168" s="11">
        <v>43040</v>
      </c>
      <c r="B168" s="1">
        <v>-0.87388728134580829</v>
      </c>
      <c r="C168">
        <f>IF(B168&lt;2,0, 1)</f>
        <v>0</v>
      </c>
      <c r="D168">
        <v>23.3125</v>
      </c>
      <c r="E168" s="2">
        <v>2837331604</v>
      </c>
      <c r="F168" s="17">
        <f t="shared" si="16"/>
        <v>2.8307020977431072E-2</v>
      </c>
      <c r="G168" s="18">
        <v>152.55287561534459</v>
      </c>
      <c r="H168" s="19">
        <f t="shared" si="17"/>
        <v>4.6562500681841805E-2</v>
      </c>
      <c r="I168" s="20">
        <v>-6.6900000000000001E-2</v>
      </c>
      <c r="J168" s="21">
        <v>86.367319649045285</v>
      </c>
      <c r="K168" s="21">
        <f t="shared" si="14"/>
        <v>-35.25222417623398</v>
      </c>
      <c r="L168" s="5">
        <f t="shared" si="18"/>
        <v>-31.198659708647639</v>
      </c>
      <c r="M168" s="10">
        <v>-5.4957581867585099E-2</v>
      </c>
      <c r="N168" s="10">
        <f t="shared" si="13"/>
        <v>-3.4749775559593597E-2</v>
      </c>
      <c r="O168" s="7">
        <v>203.9191860432008</v>
      </c>
      <c r="P168" s="13">
        <v>6163</v>
      </c>
      <c r="Q168" s="13">
        <v>37378</v>
      </c>
      <c r="R168" s="22">
        <f t="shared" si="19"/>
        <v>0.45922311145813</v>
      </c>
      <c r="S168" s="9">
        <f t="shared" si="15"/>
        <v>6.0649034561090378</v>
      </c>
      <c r="T168" s="12">
        <v>234548.94643719122</v>
      </c>
    </row>
    <row r="169" spans="1:20" x14ac:dyDescent="0.45">
      <c r="A169" s="11">
        <v>43070</v>
      </c>
      <c r="B169" s="1">
        <v>1.4238784683749184</v>
      </c>
      <c r="C169">
        <f>IF(B169&lt;2,0, 1)</f>
        <v>0</v>
      </c>
      <c r="D169">
        <v>23.25</v>
      </c>
      <c r="E169" s="2">
        <v>3105535100</v>
      </c>
      <c r="F169" s="17">
        <f t="shared" si="16"/>
        <v>9.4526665695998782E-2</v>
      </c>
      <c r="G169" s="18">
        <v>152.32975639272024</v>
      </c>
      <c r="H169" s="19">
        <f t="shared" si="17"/>
        <v>3.574927132919458E-2</v>
      </c>
      <c r="I169" s="20">
        <v>-6.6900000000000001E-2</v>
      </c>
      <c r="J169" s="21">
        <v>90.823311913294134</v>
      </c>
      <c r="K169" s="21">
        <f t="shared" si="14"/>
        <v>-30.796231911985132</v>
      </c>
      <c r="L169" s="5">
        <f t="shared" si="18"/>
        <v>-30.99236628148266</v>
      </c>
      <c r="M169" s="10">
        <v>-5.4957581867585099E-2</v>
      </c>
      <c r="N169" s="10">
        <f t="shared" si="13"/>
        <v>-3.4749775559593597E-2</v>
      </c>
      <c r="O169" s="7">
        <v>204.30145418778699</v>
      </c>
      <c r="P169" s="13">
        <v>5366</v>
      </c>
      <c r="Q169" s="13">
        <v>39308</v>
      </c>
      <c r="R169" s="22">
        <f t="shared" si="19"/>
        <v>0.53769119430426793</v>
      </c>
      <c r="S169" s="9">
        <f t="shared" si="15"/>
        <v>7.3253820350354077</v>
      </c>
      <c r="T169" s="12">
        <v>234548.94643719122</v>
      </c>
    </row>
    <row r="170" spans="1:20" x14ac:dyDescent="0.45">
      <c r="A170" s="11">
        <v>43101</v>
      </c>
      <c r="B170" s="1">
        <v>-1.1231735883461507</v>
      </c>
      <c r="C170">
        <f>IF(B170&lt;2,0, 1)</f>
        <v>0</v>
      </c>
      <c r="D170">
        <v>23.1875</v>
      </c>
      <c r="E170" s="2">
        <v>3233379815</v>
      </c>
      <c r="F170" s="17">
        <f t="shared" si="16"/>
        <v>4.116672679049739E-2</v>
      </c>
      <c r="G170" s="18">
        <v>151.21834013513867</v>
      </c>
      <c r="H170" s="19">
        <f t="shared" si="17"/>
        <v>2.7001717032506912E-2</v>
      </c>
      <c r="I170" s="20">
        <v>-5.4399999999999997E-2</v>
      </c>
      <c r="J170" s="21">
        <v>96.952677553346561</v>
      </c>
      <c r="K170" s="21">
        <f t="shared" si="14"/>
        <v>-24.666866271932705</v>
      </c>
      <c r="L170" s="5">
        <f t="shared" si="18"/>
        <v>-30.372878229963248</v>
      </c>
      <c r="M170" s="10">
        <v>-5.7658182152630598E-2</v>
      </c>
      <c r="N170" s="10">
        <f t="shared" si="13"/>
        <v>-4.2221342570842299E-2</v>
      </c>
      <c r="O170" s="7">
        <v>210.0940503543261</v>
      </c>
      <c r="P170" s="13">
        <v>5743</v>
      </c>
      <c r="Q170" s="13">
        <v>46887</v>
      </c>
      <c r="R170" s="22">
        <f t="shared" si="19"/>
        <v>0.55905433264613946</v>
      </c>
      <c r="S170" s="9">
        <f t="shared" si="15"/>
        <v>8.1641998955249875</v>
      </c>
      <c r="T170" s="12">
        <v>253168.06415911339</v>
      </c>
    </row>
    <row r="171" spans="1:20" x14ac:dyDescent="0.45">
      <c r="A171" s="11">
        <v>43132</v>
      </c>
      <c r="B171" s="1">
        <v>0.50419969563946287</v>
      </c>
      <c r="C171">
        <f>IF(B171&lt;2,0, 1)</f>
        <v>0</v>
      </c>
      <c r="D171">
        <v>22.8125</v>
      </c>
      <c r="E171" s="2">
        <v>3326165347</v>
      </c>
      <c r="F171" s="17">
        <f t="shared" si="16"/>
        <v>2.8696143759405511E-2</v>
      </c>
      <c r="G171" s="18">
        <v>152.17556997222161</v>
      </c>
      <c r="H171" s="19">
        <f t="shared" si="17"/>
        <v>3.6731727497169256E-2</v>
      </c>
      <c r="I171" s="20">
        <v>-5.4399999999999997E-2</v>
      </c>
      <c r="J171" s="21">
        <v>96.423392473702847</v>
      </c>
      <c r="K171" s="21">
        <f t="shared" si="14"/>
        <v>-25.196151351576418</v>
      </c>
      <c r="L171" s="5">
        <f t="shared" si="18"/>
        <v>-33.892636645849734</v>
      </c>
      <c r="M171" s="10">
        <v>-5.7658182152630598E-2</v>
      </c>
      <c r="N171" s="10">
        <f t="shared" si="13"/>
        <v>-4.2221342570842299E-2</v>
      </c>
      <c r="O171" s="7">
        <v>215.773100976693</v>
      </c>
      <c r="P171" s="13">
        <v>5196</v>
      </c>
      <c r="Q171" s="13">
        <v>50608</v>
      </c>
      <c r="R171" s="22">
        <f t="shared" si="19"/>
        <v>0.78203457868234794</v>
      </c>
      <c r="S171" s="9">
        <f t="shared" si="15"/>
        <v>9.739799846035412</v>
      </c>
      <c r="T171" s="12">
        <v>253168.06415911339</v>
      </c>
    </row>
    <row r="172" spans="1:20" x14ac:dyDescent="0.45">
      <c r="A172" s="11">
        <v>43160</v>
      </c>
      <c r="B172" s="1">
        <v>-0.10727968684225875</v>
      </c>
      <c r="C172">
        <f>IF(B172&lt;2,0, 1)</f>
        <v>0</v>
      </c>
      <c r="D172">
        <v>22.5625</v>
      </c>
      <c r="E172" s="2">
        <v>3334664565</v>
      </c>
      <c r="F172" s="17">
        <f t="shared" si="16"/>
        <v>2.5552602211028927E-3</v>
      </c>
      <c r="G172" s="18">
        <v>151.46361832998033</v>
      </c>
      <c r="H172" s="19">
        <f t="shared" si="17"/>
        <v>2.576656463498006E-2</v>
      </c>
      <c r="I172" s="20">
        <v>-5.4399999999999997E-2</v>
      </c>
      <c r="J172" s="21">
        <v>93.607433032241957</v>
      </c>
      <c r="K172" s="21">
        <f t="shared" si="14"/>
        <v>-28.012110793037309</v>
      </c>
      <c r="L172" s="5">
        <f t="shared" si="18"/>
        <v>-36.304464912410111</v>
      </c>
      <c r="M172" s="10">
        <v>-5.7658182152630598E-2</v>
      </c>
      <c r="N172" s="10">
        <f t="shared" si="13"/>
        <v>-4.2221342570842299E-2</v>
      </c>
      <c r="O172" s="7">
        <v>221.56188118667421</v>
      </c>
      <c r="P172" s="13">
        <v>5979</v>
      </c>
      <c r="Q172" s="13">
        <v>50522</v>
      </c>
      <c r="R172" s="22">
        <f t="shared" si="19"/>
        <v>0.7084404166103071</v>
      </c>
      <c r="S172" s="9">
        <f t="shared" si="15"/>
        <v>8.4499080113731395</v>
      </c>
      <c r="T172" s="12">
        <v>253168.06415911339</v>
      </c>
    </row>
    <row r="173" spans="1:20" x14ac:dyDescent="0.45">
      <c r="A173" s="11">
        <v>43191</v>
      </c>
      <c r="B173" s="1">
        <v>1.9421543502733267</v>
      </c>
      <c r="C173">
        <f>IF(B173&lt;2,0, 1)</f>
        <v>0</v>
      </c>
      <c r="D173">
        <v>22.8125</v>
      </c>
      <c r="E173" s="2">
        <v>3386336722</v>
      </c>
      <c r="F173" s="17">
        <f t="shared" si="16"/>
        <v>1.5495458686412137E-2</v>
      </c>
      <c r="G173" s="18">
        <v>146.72025309972472</v>
      </c>
      <c r="H173" s="19">
        <f t="shared" si="17"/>
        <v>-6.7553808840376834E-3</v>
      </c>
      <c r="I173" s="20">
        <v>-5.4399999999999997E-2</v>
      </c>
      <c r="J173" s="21">
        <v>91.313178929432297</v>
      </c>
      <c r="K173" s="21">
        <f t="shared" si="14"/>
        <v>-30.306364895846968</v>
      </c>
      <c r="L173" s="5">
        <f t="shared" si="18"/>
        <v>-38.41764616376301</v>
      </c>
      <c r="M173" s="10">
        <v>-4.8128742319476399E-2</v>
      </c>
      <c r="N173" s="10">
        <f t="shared" si="13"/>
        <v>-4.8495418607989997E-2</v>
      </c>
      <c r="O173" s="7">
        <v>224.33431152647111</v>
      </c>
      <c r="P173" s="13">
        <v>6106</v>
      </c>
      <c r="Q173" s="13">
        <v>48217</v>
      </c>
      <c r="R173" s="22">
        <f t="shared" si="19"/>
        <v>0.40247236765561367</v>
      </c>
      <c r="S173" s="9">
        <f t="shared" si="15"/>
        <v>7.8966590239109076</v>
      </c>
      <c r="T173" s="12">
        <v>261678.65238243656</v>
      </c>
    </row>
    <row r="174" spans="1:20" x14ac:dyDescent="0.45">
      <c r="A174" s="11">
        <v>43221</v>
      </c>
      <c r="B174" s="1">
        <v>7.9563878491617288</v>
      </c>
      <c r="C174">
        <f>IF(B174&lt;2,0, 1)</f>
        <v>1</v>
      </c>
      <c r="D174">
        <v>30</v>
      </c>
      <c r="E174" s="2">
        <v>3527347861</v>
      </c>
      <c r="F174" s="17">
        <f t="shared" si="16"/>
        <v>4.164120422044669E-2</v>
      </c>
      <c r="G174" s="18">
        <v>144.51653101478831</v>
      </c>
      <c r="H174" s="19">
        <f t="shared" si="17"/>
        <v>-2.7340587846356779E-2</v>
      </c>
      <c r="I174" s="20">
        <v>-5.4399999999999997E-2</v>
      </c>
      <c r="J174" s="21">
        <v>105.07286060064705</v>
      </c>
      <c r="K174" s="21">
        <f t="shared" si="14"/>
        <v>-16.546683224632218</v>
      </c>
      <c r="L174" s="5">
        <f t="shared" si="18"/>
        <v>-35.494060104604145</v>
      </c>
      <c r="M174" s="10">
        <v>-4.8128742319476399E-2</v>
      </c>
      <c r="N174" s="10">
        <f t="shared" si="13"/>
        <v>-4.8495418607989997E-2</v>
      </c>
      <c r="O174" s="7">
        <v>226.9493965756231</v>
      </c>
      <c r="P174" s="13">
        <v>6448</v>
      </c>
      <c r="Q174" s="13">
        <v>46146</v>
      </c>
      <c r="R174" s="22">
        <f t="shared" si="19"/>
        <v>0.52948195286864874</v>
      </c>
      <c r="S174" s="9">
        <f t="shared" si="15"/>
        <v>7.1566377171215878</v>
      </c>
      <c r="T174" s="12">
        <v>261678.65238243656</v>
      </c>
    </row>
    <row r="175" spans="1:20" x14ac:dyDescent="0.45">
      <c r="A175" s="11">
        <v>43252</v>
      </c>
      <c r="B175" s="1">
        <v>-0.10029742984694157</v>
      </c>
      <c r="C175">
        <f>IF(B175&lt;2,0, 1)</f>
        <v>0</v>
      </c>
      <c r="D175">
        <v>32.6875</v>
      </c>
      <c r="E175" s="2">
        <v>3806117775</v>
      </c>
      <c r="F175" s="17">
        <f t="shared" si="16"/>
        <v>7.9031024153361773E-2</v>
      </c>
      <c r="G175" s="18">
        <v>143.17194408152812</v>
      </c>
      <c r="H175" s="19">
        <f t="shared" si="17"/>
        <v>-4.6682172676199472E-2</v>
      </c>
      <c r="I175" s="20">
        <v>-5.4399999999999997E-2</v>
      </c>
      <c r="J175" s="21">
        <v>115.45861459900817</v>
      </c>
      <c r="K175" s="21">
        <f t="shared" si="14"/>
        <v>-6.1609292262710937</v>
      </c>
      <c r="L175" s="5">
        <f t="shared" si="18"/>
        <v>-33.77332264632939</v>
      </c>
      <c r="M175" s="10">
        <v>-4.8128742319476399E-2</v>
      </c>
      <c r="N175" s="10">
        <f t="shared" si="13"/>
        <v>-4.8495418607989997E-2</v>
      </c>
      <c r="O175" s="7">
        <v>214.99732583761991</v>
      </c>
      <c r="P175" s="13">
        <v>5461</v>
      </c>
      <c r="Q175" s="13">
        <v>47995</v>
      </c>
      <c r="R175" s="22">
        <f t="shared" si="19"/>
        <v>0.57324548464286895</v>
      </c>
      <c r="S175" s="9">
        <f t="shared" si="15"/>
        <v>8.7886833913202711</v>
      </c>
      <c r="T175" s="12">
        <v>261678.65238243656</v>
      </c>
    </row>
    <row r="176" spans="1:20" x14ac:dyDescent="0.45">
      <c r="A176" s="11">
        <v>43282</v>
      </c>
      <c r="B176" s="1">
        <v>0.45548429744816632</v>
      </c>
      <c r="C176">
        <f>IF(B176&lt;2,0, 1)</f>
        <v>0</v>
      </c>
      <c r="D176">
        <v>35.1875</v>
      </c>
      <c r="E176" s="2">
        <v>3844518481</v>
      </c>
      <c r="F176" s="17">
        <f t="shared" si="16"/>
        <v>1.0089205923219231E-2</v>
      </c>
      <c r="G176" s="18">
        <v>143.62385817805958</v>
      </c>
      <c r="H176" s="19">
        <f t="shared" si="17"/>
        <v>-4.5209871401423789E-2</v>
      </c>
      <c r="I176" s="20">
        <v>-5.4399999999999997E-2</v>
      </c>
      <c r="J176" s="21">
        <v>107.92217360971836</v>
      </c>
      <c r="K176" s="21">
        <f t="shared" si="14"/>
        <v>-13.697370215560909</v>
      </c>
      <c r="L176" s="5">
        <f t="shared" si="18"/>
        <v>-27.187788881592951</v>
      </c>
      <c r="M176" s="10">
        <v>-4.0944367009704698E-2</v>
      </c>
      <c r="N176" s="10">
        <f t="shared" ref="N176:N235" si="20">M164</f>
        <v>-5.1068245769830697E-2</v>
      </c>
      <c r="O176" s="7">
        <v>207.1330712403886</v>
      </c>
      <c r="P176" s="13">
        <v>6182</v>
      </c>
      <c r="Q176" s="13">
        <v>47014</v>
      </c>
      <c r="R176" s="22">
        <f t="shared" si="19"/>
        <v>0.44609516778936364</v>
      </c>
      <c r="S176" s="9">
        <f t="shared" si="15"/>
        <v>7.604982206405694</v>
      </c>
      <c r="T176" s="12">
        <v>255050.20931953168</v>
      </c>
    </row>
    <row r="177" spans="1:20" x14ac:dyDescent="0.45">
      <c r="A177" s="11">
        <v>43313</v>
      </c>
      <c r="B177" s="1">
        <v>9.3559341417689463</v>
      </c>
      <c r="C177">
        <f>IF(B177&lt;2,0, 1)</f>
        <v>1</v>
      </c>
      <c r="D177">
        <v>39.4375</v>
      </c>
      <c r="E177" s="2">
        <v>4291817786</v>
      </c>
      <c r="F177" s="17">
        <f t="shared" si="16"/>
        <v>0.11634728957881163</v>
      </c>
      <c r="G177" s="18">
        <v>146.5363525953527</v>
      </c>
      <c r="H177" s="19">
        <f t="shared" si="17"/>
        <v>-2.6367975760022266E-2</v>
      </c>
      <c r="I177" s="20">
        <v>-5.4399999999999997E-2</v>
      </c>
      <c r="J177" s="21">
        <v>135.28651857846182</v>
      </c>
      <c r="K177" s="21">
        <f t="shared" si="14"/>
        <v>13.666974753182558</v>
      </c>
      <c r="L177" s="5">
        <f t="shared" si="18"/>
        <v>-29.62933554678132</v>
      </c>
      <c r="M177" s="10">
        <v>-4.0944367009704698E-2</v>
      </c>
      <c r="N177" s="10">
        <f t="shared" si="20"/>
        <v>-5.1068245769830697E-2</v>
      </c>
      <c r="O177" s="7">
        <v>204.75859480117569</v>
      </c>
      <c r="P177" s="13">
        <v>6314</v>
      </c>
      <c r="Q177" s="13">
        <v>48877</v>
      </c>
      <c r="R177" s="22">
        <f t="shared" si="19"/>
        <v>0.56908507223113958</v>
      </c>
      <c r="S177" s="9">
        <f t="shared" si="15"/>
        <v>7.7410516312955338</v>
      </c>
      <c r="T177" s="12">
        <v>255050.20931953168</v>
      </c>
    </row>
    <row r="178" spans="1:20" x14ac:dyDescent="0.45">
      <c r="A178" s="11">
        <v>43344</v>
      </c>
      <c r="B178" s="1">
        <v>3.7597914566361244</v>
      </c>
      <c r="C178">
        <f>IF(B178&lt;2,0, 1)</f>
        <v>1</v>
      </c>
      <c r="D178">
        <v>43.3125</v>
      </c>
      <c r="E178" s="2">
        <v>4387496356</v>
      </c>
      <c r="F178" s="17">
        <f t="shared" si="16"/>
        <v>2.2293250732150258E-2</v>
      </c>
      <c r="G178" s="18">
        <v>143.19937620432961</v>
      </c>
      <c r="H178" s="19">
        <f t="shared" si="17"/>
        <v>-5.292937910807867E-2</v>
      </c>
      <c r="I178" s="20">
        <v>-5.4399999999999997E-2</v>
      </c>
      <c r="J178" s="21">
        <v>142.85016543019887</v>
      </c>
      <c r="K178" s="21">
        <f t="shared" si="14"/>
        <v>21.230621604919605</v>
      </c>
      <c r="L178" s="5">
        <f t="shared" si="18"/>
        <v>-31.917249631524356</v>
      </c>
      <c r="M178" s="10">
        <v>-4.0944367009704698E-2</v>
      </c>
      <c r="N178" s="10">
        <f t="shared" si="20"/>
        <v>-5.1068245769830697E-2</v>
      </c>
      <c r="O178" s="7">
        <v>199.99345517562111</v>
      </c>
      <c r="P178" s="13">
        <v>4700</v>
      </c>
      <c r="Q178" s="13">
        <v>50237</v>
      </c>
      <c r="R178" s="22">
        <f t="shared" si="19"/>
        <v>0.68005484582971043</v>
      </c>
      <c r="S178" s="9">
        <f t="shared" si="15"/>
        <v>10.688723404255319</v>
      </c>
      <c r="T178" s="12">
        <v>255050.20931953168</v>
      </c>
    </row>
    <row r="179" spans="1:20" x14ac:dyDescent="0.45">
      <c r="A179" s="11">
        <v>43374</v>
      </c>
      <c r="B179" s="1">
        <v>-2.6922580524499944</v>
      </c>
      <c r="C179">
        <f>IF(B179&lt;2,0, 1)</f>
        <v>0</v>
      </c>
      <c r="D179">
        <v>51.5</v>
      </c>
      <c r="E179" s="2">
        <v>4331851871</v>
      </c>
      <c r="F179" s="17">
        <f t="shared" si="16"/>
        <v>-1.2682514237055699E-2</v>
      </c>
      <c r="G179" s="18">
        <v>143.61409591890774</v>
      </c>
      <c r="H179" s="19">
        <f t="shared" si="17"/>
        <v>-5.2971735806864956E-2</v>
      </c>
      <c r="I179" s="20">
        <v>-5.4399999999999997E-2</v>
      </c>
      <c r="J179" s="21">
        <v>119.42674314724329</v>
      </c>
      <c r="K179" s="21">
        <f t="shared" si="14"/>
        <v>-2.1928006780359794</v>
      </c>
      <c r="L179" s="5">
        <f t="shared" si="18"/>
        <v>-32.877329424159271</v>
      </c>
      <c r="M179" s="10">
        <v>-3.0953194932188101E-2</v>
      </c>
      <c r="N179" s="10">
        <f t="shared" si="20"/>
        <v>-5.4957581867585099E-2</v>
      </c>
      <c r="O179" s="7">
        <v>203.91284445455099</v>
      </c>
      <c r="P179" s="13">
        <v>5073</v>
      </c>
      <c r="Q179" s="13">
        <v>51810</v>
      </c>
      <c r="R179" s="22">
        <f t="shared" si="19"/>
        <v>0.39236764310669181</v>
      </c>
      <c r="S179" s="9">
        <f t="shared" si="15"/>
        <v>10.212891780011827</v>
      </c>
      <c r="T179" s="12">
        <v>277827.00866535027</v>
      </c>
    </row>
    <row r="180" spans="1:20" x14ac:dyDescent="0.45">
      <c r="A180" s="11">
        <v>43405</v>
      </c>
      <c r="B180" s="1">
        <v>1.7891999992933618</v>
      </c>
      <c r="C180">
        <f>IF(B180&lt;2,0, 1)</f>
        <v>0</v>
      </c>
      <c r="D180">
        <v>51.25</v>
      </c>
      <c r="E180" s="2">
        <v>4562754787</v>
      </c>
      <c r="F180" s="17">
        <f t="shared" si="16"/>
        <v>5.3303511494887865E-2</v>
      </c>
      <c r="G180" s="18">
        <v>141.6281583832851</v>
      </c>
      <c r="H180" s="19">
        <f t="shared" si="17"/>
        <v>-7.1612660121895641E-2</v>
      </c>
      <c r="I180" s="20">
        <v>-5.4399999999999997E-2</v>
      </c>
      <c r="J180" s="21">
        <v>120.66580899906407</v>
      </c>
      <c r="K180" s="21">
        <f t="shared" si="14"/>
        <v>-0.95373482621519656</v>
      </c>
      <c r="L180" s="5">
        <f t="shared" si="18"/>
        <v>-35.25222417623398</v>
      </c>
      <c r="M180" s="10">
        <v>-3.0953194932188101E-2</v>
      </c>
      <c r="N180" s="10">
        <f t="shared" si="20"/>
        <v>-5.4957581867585099E-2</v>
      </c>
      <c r="O180" s="7">
        <v>200.9865848182047</v>
      </c>
      <c r="P180" s="13">
        <v>4363</v>
      </c>
      <c r="Q180" s="13">
        <v>54563</v>
      </c>
      <c r="R180" s="22">
        <f t="shared" si="19"/>
        <v>0.45976242709615289</v>
      </c>
      <c r="S180" s="9">
        <f t="shared" si="15"/>
        <v>12.505844602337842</v>
      </c>
      <c r="T180" s="12">
        <v>277827.00866535027</v>
      </c>
    </row>
    <row r="181" spans="1:20" x14ac:dyDescent="0.45">
      <c r="A181" s="11">
        <v>43435</v>
      </c>
      <c r="B181" s="1">
        <v>-4.919077798433567</v>
      </c>
      <c r="C181">
        <f>IF(B181&lt;2,0, 1)</f>
        <v>0</v>
      </c>
      <c r="D181">
        <v>49.5</v>
      </c>
      <c r="E181" s="2">
        <v>4736256390</v>
      </c>
      <c r="F181" s="17">
        <f t="shared" si="16"/>
        <v>3.8025625110149057E-2</v>
      </c>
      <c r="G181" s="18">
        <v>141.92852783081179</v>
      </c>
      <c r="H181" s="19">
        <f t="shared" si="17"/>
        <v>-6.8281003056901907E-2</v>
      </c>
      <c r="I181" s="20">
        <v>-5.4399999999999997E-2</v>
      </c>
      <c r="J181" s="21">
        <v>117.75809600397697</v>
      </c>
      <c r="K181" s="21">
        <f t="shared" si="14"/>
        <v>-3.861447821302292</v>
      </c>
      <c r="L181" s="5">
        <f t="shared" si="18"/>
        <v>-30.796231911985132</v>
      </c>
      <c r="M181" s="10">
        <v>-3.0953194932188101E-2</v>
      </c>
      <c r="N181" s="10">
        <f t="shared" si="20"/>
        <v>-5.4957581867585099E-2</v>
      </c>
      <c r="O181" s="7">
        <v>201.7174713017003</v>
      </c>
      <c r="P181" s="13">
        <v>3917</v>
      </c>
      <c r="Q181" s="13">
        <v>55055</v>
      </c>
      <c r="R181" s="22">
        <f t="shared" si="19"/>
        <v>0.40060547471252672</v>
      </c>
      <c r="S181" s="9">
        <f t="shared" si="15"/>
        <v>14.055399540464641</v>
      </c>
      <c r="T181" s="12">
        <v>277827.00866535027</v>
      </c>
    </row>
    <row r="182" spans="1:20" x14ac:dyDescent="0.45">
      <c r="A182" s="11">
        <v>43466</v>
      </c>
      <c r="B182" s="1">
        <v>-1.2889514419978154</v>
      </c>
      <c r="C182">
        <f>IF(B182&lt;2,0, 1)</f>
        <v>0</v>
      </c>
      <c r="D182">
        <v>44.5625</v>
      </c>
      <c r="E182" s="2">
        <v>4712438067</v>
      </c>
      <c r="F182" s="17">
        <f t="shared" si="16"/>
        <v>-5.0289344661090018E-3</v>
      </c>
      <c r="G182" s="18">
        <v>141.78964592438007</v>
      </c>
      <c r="H182" s="19">
        <f t="shared" si="17"/>
        <v>-6.2351525630637825E-2</v>
      </c>
      <c r="I182" s="20">
        <v>-4.3999999999999997E-2</v>
      </c>
      <c r="J182" s="21">
        <v>116.43859433366464</v>
      </c>
      <c r="K182" s="21">
        <f t="shared" si="14"/>
        <v>-5.1809494916146264</v>
      </c>
      <c r="L182" s="5">
        <f t="shared" si="18"/>
        <v>-24.666866271932705</v>
      </c>
      <c r="M182" s="10">
        <v>-1.7405341524117601E-2</v>
      </c>
      <c r="N182" s="10">
        <f t="shared" si="20"/>
        <v>-5.7658182152630598E-2</v>
      </c>
      <c r="O182" s="7">
        <v>204.5846849020997</v>
      </c>
      <c r="P182" s="13">
        <v>4212</v>
      </c>
      <c r="Q182" s="13">
        <v>62024</v>
      </c>
      <c r="R182" s="22">
        <f t="shared" si="19"/>
        <v>0.32284001962164344</v>
      </c>
      <c r="S182" s="9">
        <f t="shared" si="15"/>
        <v>14.725546058879392</v>
      </c>
      <c r="T182" s="12">
        <v>275662.06868715066</v>
      </c>
    </row>
    <row r="183" spans="1:20" x14ac:dyDescent="0.45">
      <c r="A183" s="11">
        <v>43497</v>
      </c>
      <c r="B183" s="1">
        <v>-0.31038631869611055</v>
      </c>
      <c r="C183">
        <f>IF(B183&lt;2,0, 1)</f>
        <v>0</v>
      </c>
      <c r="D183">
        <v>37.125</v>
      </c>
      <c r="E183" s="2">
        <v>4769222791</v>
      </c>
      <c r="F183" s="17">
        <f t="shared" si="16"/>
        <v>1.2049967170422655E-2</v>
      </c>
      <c r="G183" s="18">
        <v>143.66802283252224</v>
      </c>
      <c r="H183" s="19">
        <f t="shared" si="17"/>
        <v>-5.5906129618915515E-2</v>
      </c>
      <c r="I183" s="20">
        <v>-4.3999999999999997E-2</v>
      </c>
      <c r="J183" s="21">
        <v>117.34745031093988</v>
      </c>
      <c r="K183" s="21">
        <f t="shared" si="14"/>
        <v>-4.2720935143393888</v>
      </c>
      <c r="L183" s="5">
        <f t="shared" si="18"/>
        <v>-25.196151351576418</v>
      </c>
      <c r="M183" s="10">
        <v>-1.7405341524117601E-2</v>
      </c>
      <c r="N183" s="10">
        <f t="shared" si="20"/>
        <v>-5.7658182152630598E-2</v>
      </c>
      <c r="O183" s="7">
        <v>210.54134992608991</v>
      </c>
      <c r="P183" s="13">
        <v>3998</v>
      </c>
      <c r="Q183" s="13">
        <v>61509</v>
      </c>
      <c r="R183" s="22">
        <f t="shared" si="19"/>
        <v>0.2154007271577616</v>
      </c>
      <c r="S183" s="9">
        <f t="shared" si="15"/>
        <v>15.384942471235618</v>
      </c>
      <c r="T183" s="12">
        <v>275662.06868715066</v>
      </c>
    </row>
    <row r="184" spans="1:20" x14ac:dyDescent="0.45">
      <c r="A184" s="11">
        <v>43525</v>
      </c>
      <c r="B184" s="1">
        <v>4.1228342218486933</v>
      </c>
      <c r="C184">
        <f>IF(B184&lt;2,0, 1)</f>
        <v>1</v>
      </c>
      <c r="D184">
        <v>45.6875</v>
      </c>
      <c r="E184" s="2">
        <v>4996399230</v>
      </c>
      <c r="F184" s="17">
        <f t="shared" si="16"/>
        <v>4.7633849152256977E-2</v>
      </c>
      <c r="G184" s="18">
        <v>141.8806331890606</v>
      </c>
      <c r="H184" s="19">
        <f t="shared" si="17"/>
        <v>-6.3269220995646178E-2</v>
      </c>
      <c r="I184" s="20">
        <v>-4.3999999999999997E-2</v>
      </c>
      <c r="J184" s="21">
        <v>122.26833211550894</v>
      </c>
      <c r="K184" s="21">
        <f t="shared" si="14"/>
        <v>0.64878829022967466</v>
      </c>
      <c r="L184" s="5">
        <f t="shared" si="18"/>
        <v>-28.012110793037309</v>
      </c>
      <c r="M184" s="10">
        <v>-1.7405341524117601E-2</v>
      </c>
      <c r="N184" s="10">
        <f t="shared" si="20"/>
        <v>-5.7658182152630598E-2</v>
      </c>
      <c r="O184" s="7">
        <v>204.08230883238551</v>
      </c>
      <c r="P184" s="13">
        <v>3956</v>
      </c>
      <c r="Q184" s="13">
        <v>61726</v>
      </c>
      <c r="R184" s="22">
        <f t="shared" si="19"/>
        <v>0.2217647757412613</v>
      </c>
      <c r="S184" s="9">
        <f t="shared" si="15"/>
        <v>15.603134479271992</v>
      </c>
      <c r="T184" s="12">
        <v>275662.06868715066</v>
      </c>
    </row>
    <row r="185" spans="1:20" x14ac:dyDescent="0.45">
      <c r="A185" s="11">
        <v>43556</v>
      </c>
      <c r="B185" s="1">
        <v>5.0090045280088979E-2</v>
      </c>
      <c r="C185">
        <f>IF(B185&lt;2,0, 1)</f>
        <v>0</v>
      </c>
      <c r="D185">
        <v>53.375</v>
      </c>
      <c r="E185" s="2">
        <v>5030597695</v>
      </c>
      <c r="F185" s="17">
        <f t="shared" si="16"/>
        <v>6.8446221820428867E-3</v>
      </c>
      <c r="G185" s="18">
        <v>142.57439667110614</v>
      </c>
      <c r="H185" s="19">
        <f t="shared" si="17"/>
        <v>-2.8256878931367864E-2</v>
      </c>
      <c r="I185" s="20">
        <v>-4.3999999999999997E-2</v>
      </c>
      <c r="J185" s="21">
        <v>120.45894526447729</v>
      </c>
      <c r="K185" s="21">
        <f t="shared" si="14"/>
        <v>-1.1605985608019722</v>
      </c>
      <c r="L185" s="5">
        <f t="shared" si="18"/>
        <v>-30.306364895846968</v>
      </c>
      <c r="M185" s="10">
        <v>-7.2063327694584E-3</v>
      </c>
      <c r="N185" s="10">
        <f t="shared" si="20"/>
        <v>-4.8128742319476399E-2</v>
      </c>
      <c r="O185" s="7">
        <v>200.2335075248881</v>
      </c>
      <c r="P185" s="13">
        <v>4172</v>
      </c>
      <c r="Q185" s="13">
        <v>56623</v>
      </c>
      <c r="R185" s="22">
        <f t="shared" si="19"/>
        <v>0.17433685214758277</v>
      </c>
      <c r="S185" s="9">
        <f t="shared" si="15"/>
        <v>13.572147651006711</v>
      </c>
      <c r="T185" s="12">
        <v>283129.14383133769</v>
      </c>
    </row>
    <row r="186" spans="1:20" x14ac:dyDescent="0.45">
      <c r="A186" s="11">
        <v>43586</v>
      </c>
      <c r="B186" s="1">
        <v>1.8873513077034898</v>
      </c>
      <c r="C186">
        <f>IF(B186&lt;2,0, 1)</f>
        <v>0</v>
      </c>
      <c r="D186">
        <v>53</v>
      </c>
      <c r="E186" s="2">
        <v>5161350955</v>
      </c>
      <c r="F186" s="17">
        <f t="shared" si="16"/>
        <v>2.599159541816631E-2</v>
      </c>
      <c r="G186" s="18">
        <v>144.57042954469699</v>
      </c>
      <c r="H186" s="19">
        <f t="shared" si="17"/>
        <v>3.7295754008351837E-4</v>
      </c>
      <c r="I186" s="20">
        <v>-4.3999999999999997E-2</v>
      </c>
      <c r="J186" s="21">
        <v>117.85627302763606</v>
      </c>
      <c r="K186" s="21">
        <f t="shared" si="14"/>
        <v>-3.7632707976432016</v>
      </c>
      <c r="L186" s="5">
        <f t="shared" si="18"/>
        <v>-16.546683224632218</v>
      </c>
      <c r="M186" s="10">
        <v>-7.2063327694584E-3</v>
      </c>
      <c r="N186" s="10">
        <f t="shared" si="20"/>
        <v>-4.8128742319476399E-2</v>
      </c>
      <c r="O186" s="7">
        <v>199.93908493866849</v>
      </c>
      <c r="P186" s="13">
        <v>4645</v>
      </c>
      <c r="Q186" s="13">
        <v>50098</v>
      </c>
      <c r="R186" s="22">
        <f t="shared" si="19"/>
        <v>8.5641225675031407E-2</v>
      </c>
      <c r="S186" s="9">
        <f t="shared" si="15"/>
        <v>10.785360602798708</v>
      </c>
      <c r="T186" s="12">
        <v>283129.14383133769</v>
      </c>
    </row>
    <row r="187" spans="1:20" x14ac:dyDescent="0.45">
      <c r="A187" s="11">
        <v>43617</v>
      </c>
      <c r="B187" s="1">
        <v>-1.6104971356228748</v>
      </c>
      <c r="C187">
        <f>IF(B187&lt;2,0, 1)</f>
        <v>0</v>
      </c>
      <c r="D187">
        <v>47.5</v>
      </c>
      <c r="E187" s="2">
        <v>5165144168</v>
      </c>
      <c r="F187" s="17">
        <f t="shared" si="16"/>
        <v>7.3492638517932366E-4</v>
      </c>
      <c r="G187" s="18">
        <v>143.93109168239047</v>
      </c>
      <c r="H187" s="19">
        <f t="shared" si="17"/>
        <v>5.3023489045455601E-3</v>
      </c>
      <c r="I187" s="20">
        <v>-4.3999999999999997E-2</v>
      </c>
      <c r="J187" s="21">
        <v>110.69871260026049</v>
      </c>
      <c r="K187" s="21">
        <f t="shared" si="14"/>
        <v>-10.920831225018773</v>
      </c>
      <c r="L187" s="5">
        <f t="shared" si="18"/>
        <v>-6.1609292262710937</v>
      </c>
      <c r="M187" s="10">
        <v>-7.2063327694584E-3</v>
      </c>
      <c r="N187" s="10">
        <f t="shared" si="20"/>
        <v>-4.8128742319476399E-2</v>
      </c>
      <c r="O187" s="7">
        <v>211.472311567281</v>
      </c>
      <c r="P187" s="13">
        <v>4171</v>
      </c>
      <c r="Q187" s="13">
        <v>61881</v>
      </c>
      <c r="R187" s="22">
        <f t="shared" si="19"/>
        <v>0.28932180435462018</v>
      </c>
      <c r="S187" s="9">
        <f t="shared" si="15"/>
        <v>14.836010549029011</v>
      </c>
      <c r="T187" s="12">
        <v>283129.14383133769</v>
      </c>
    </row>
    <row r="188" spans="1:20" x14ac:dyDescent="0.45">
      <c r="A188" s="11">
        <v>43647</v>
      </c>
      <c r="B188" s="1">
        <v>4.4234294174001876E-2</v>
      </c>
      <c r="C188">
        <f>IF(B188&lt;2,0, 1)</f>
        <v>0</v>
      </c>
      <c r="D188">
        <v>49.625</v>
      </c>
      <c r="E188" s="2">
        <v>5360524986</v>
      </c>
      <c r="F188" s="17">
        <f t="shared" si="16"/>
        <v>3.7826788884317543E-2</v>
      </c>
      <c r="G188" s="18">
        <v>145.84209192722059</v>
      </c>
      <c r="H188" s="19">
        <f t="shared" si="17"/>
        <v>1.5444744190139572E-2</v>
      </c>
      <c r="I188" s="20">
        <v>-4.3999999999999997E-2</v>
      </c>
      <c r="J188" s="21">
        <v>112.38717441007402</v>
      </c>
      <c r="K188" s="21">
        <f t="shared" si="14"/>
        <v>-9.2323694152052411</v>
      </c>
      <c r="L188" s="5">
        <f t="shared" si="18"/>
        <v>-13.697370215560909</v>
      </c>
      <c r="M188" s="10">
        <v>7.3976615919770004E-4</v>
      </c>
      <c r="N188" s="10">
        <f t="shared" si="20"/>
        <v>-4.0944367009704698E-2</v>
      </c>
      <c r="O188" s="7">
        <v>209.31039413251639</v>
      </c>
      <c r="P188" s="13">
        <v>4905</v>
      </c>
      <c r="Q188" s="13">
        <v>57996</v>
      </c>
      <c r="R188" s="22">
        <f t="shared" si="19"/>
        <v>0.23358999446973239</v>
      </c>
      <c r="S188" s="9">
        <f t="shared" si="15"/>
        <v>11.823853211009174</v>
      </c>
      <c r="T188" s="12">
        <v>276814.52829410473</v>
      </c>
    </row>
    <row r="189" spans="1:20" x14ac:dyDescent="0.45">
      <c r="A189" s="11">
        <v>43678</v>
      </c>
      <c r="B189" s="1">
        <v>11.234131947648741</v>
      </c>
      <c r="C189">
        <f>IF(B189&lt;2,0, 1)</f>
        <v>1</v>
      </c>
      <c r="D189">
        <v>58.0625</v>
      </c>
      <c r="E189" s="2">
        <v>5597633440</v>
      </c>
      <c r="F189" s="17">
        <f t="shared" si="16"/>
        <v>4.4232319524533971E-2</v>
      </c>
      <c r="G189" s="18">
        <v>144.90939536473272</v>
      </c>
      <c r="H189" s="19">
        <f t="shared" si="17"/>
        <v>-1.1102755062511205E-2</v>
      </c>
      <c r="I189" s="20">
        <v>-4.3999999999999997E-2</v>
      </c>
      <c r="J189" s="21">
        <v>141.08813023274206</v>
      </c>
      <c r="K189" s="21">
        <f t="shared" si="14"/>
        <v>19.468586407462794</v>
      </c>
      <c r="L189" s="5">
        <f t="shared" si="18"/>
        <v>13.666974753182558</v>
      </c>
      <c r="M189" s="10">
        <v>7.3976615919770004E-4</v>
      </c>
      <c r="N189" s="10">
        <f t="shared" si="20"/>
        <v>-4.0944367009704698E-2</v>
      </c>
      <c r="O189" s="7">
        <v>199.4952420380242</v>
      </c>
      <c r="P189" s="13">
        <v>4400</v>
      </c>
      <c r="Q189" s="13">
        <v>52658</v>
      </c>
      <c r="R189" s="22">
        <f t="shared" si="19"/>
        <v>7.7357448288561059E-2</v>
      </c>
      <c r="S189" s="9">
        <f t="shared" si="15"/>
        <v>11.967727272727272</v>
      </c>
      <c r="T189" s="12">
        <v>276814.52829410473</v>
      </c>
    </row>
    <row r="190" spans="1:20" x14ac:dyDescent="0.45">
      <c r="A190" s="11">
        <v>43709</v>
      </c>
      <c r="B190" s="1">
        <v>1.1838328697447102</v>
      </c>
      <c r="C190">
        <f>IF(B190&lt;2,0, 1)</f>
        <v>0</v>
      </c>
      <c r="D190">
        <v>58.875</v>
      </c>
      <c r="E190" s="2">
        <v>5221248037</v>
      </c>
      <c r="F190" s="17">
        <f t="shared" si="16"/>
        <v>-6.7240094771193165E-2</v>
      </c>
      <c r="G190" s="18">
        <v>140.66032707852156</v>
      </c>
      <c r="H190" s="19">
        <f t="shared" si="17"/>
        <v>-1.7730867222390045E-2</v>
      </c>
      <c r="I190" s="20">
        <v>-4.3999999999999997E-2</v>
      </c>
      <c r="J190" s="21">
        <v>128.36862514214727</v>
      </c>
      <c r="K190" s="21">
        <f t="shared" si="14"/>
        <v>6.7490813168680006</v>
      </c>
      <c r="L190" s="5">
        <f t="shared" si="18"/>
        <v>21.230621604919605</v>
      </c>
      <c r="M190" s="10">
        <v>7.3976615919770004E-4</v>
      </c>
      <c r="N190" s="10">
        <f t="shared" si="20"/>
        <v>-4.0944367009704698E-2</v>
      </c>
      <c r="O190" s="7">
        <v>200.66280512142009</v>
      </c>
      <c r="P190" s="13">
        <v>4002</v>
      </c>
      <c r="Q190" s="13">
        <v>49003</v>
      </c>
      <c r="R190" s="22">
        <f t="shared" si="19"/>
        <v>-2.4563568684435766E-2</v>
      </c>
      <c r="S190" s="9">
        <f t="shared" si="15"/>
        <v>12.244627686156921</v>
      </c>
      <c r="T190" s="12">
        <v>276814.52829410473</v>
      </c>
    </row>
    <row r="191" spans="1:20" x14ac:dyDescent="0.45">
      <c r="A191" s="11">
        <v>43739</v>
      </c>
      <c r="B191" s="1">
        <v>1.4356587990641063</v>
      </c>
      <c r="C191">
        <f>IF(B191&lt;2,0, 1)</f>
        <v>0</v>
      </c>
      <c r="D191">
        <v>48.6875</v>
      </c>
      <c r="E191" s="2">
        <v>5068932079</v>
      </c>
      <c r="F191" s="17">
        <f t="shared" si="16"/>
        <v>-2.9172327558588267E-2</v>
      </c>
      <c r="G191" s="18">
        <v>143.91994608880688</v>
      </c>
      <c r="H191" s="19">
        <f t="shared" si="17"/>
        <v>2.1296667847412725E-3</v>
      </c>
      <c r="I191" s="20">
        <v>-4.3999999999999997E-2</v>
      </c>
      <c r="J191" s="21">
        <v>131.11206995167004</v>
      </c>
      <c r="K191" s="21">
        <f t="shared" si="14"/>
        <v>9.4925261263907714</v>
      </c>
      <c r="L191" s="5">
        <f t="shared" si="18"/>
        <v>-2.1928006780359794</v>
      </c>
      <c r="M191" s="10">
        <v>1.25313647152294E-2</v>
      </c>
      <c r="N191" s="10">
        <f t="shared" si="20"/>
        <v>-3.0953194932188101E-2</v>
      </c>
      <c r="O191" s="7">
        <v>210.0099037197071</v>
      </c>
      <c r="P191" s="13">
        <v>4121</v>
      </c>
      <c r="Q191" s="13">
        <v>53955</v>
      </c>
      <c r="R191" s="22">
        <f t="shared" si="19"/>
        <v>4.140127388535042E-2</v>
      </c>
      <c r="S191" s="9">
        <f t="shared" si="15"/>
        <v>13.092695947585538</v>
      </c>
      <c r="T191" s="12">
        <v>278489.21301725984</v>
      </c>
    </row>
    <row r="192" spans="1:20" x14ac:dyDescent="0.45">
      <c r="A192" s="11">
        <v>43770</v>
      </c>
      <c r="B192" s="1">
        <v>-0.73970994317005934</v>
      </c>
      <c r="C192">
        <f>IF(B192&lt;2,0, 1)</f>
        <v>0</v>
      </c>
      <c r="D192">
        <v>44.1875</v>
      </c>
      <c r="E192" s="2">
        <v>5237544610</v>
      </c>
      <c r="F192" s="17">
        <f t="shared" si="16"/>
        <v>3.326391602257648E-2</v>
      </c>
      <c r="G192" s="18">
        <v>140.91569972981304</v>
      </c>
      <c r="H192" s="19">
        <f t="shared" si="17"/>
        <v>-5.0304873099030504E-3</v>
      </c>
      <c r="I192" s="20">
        <v>-4.3999999999999997E-2</v>
      </c>
      <c r="J192" s="21">
        <v>123.84472976468312</v>
      </c>
      <c r="K192" s="21">
        <f t="shared" si="14"/>
        <v>2.2251859394038576</v>
      </c>
      <c r="L192" s="5">
        <f t="shared" si="18"/>
        <v>-0.95373482621519656</v>
      </c>
      <c r="M192" s="10">
        <v>1.25313647152294E-2</v>
      </c>
      <c r="N192" s="10">
        <f t="shared" si="20"/>
        <v>-3.0953194932188101E-2</v>
      </c>
      <c r="O192" s="7">
        <v>207.20256625507861</v>
      </c>
      <c r="P192" s="13">
        <v>3409</v>
      </c>
      <c r="Q192" s="13">
        <v>51193</v>
      </c>
      <c r="R192" s="22">
        <f t="shared" si="19"/>
        <v>-6.1763466085075991E-2</v>
      </c>
      <c r="S192" s="9">
        <f t="shared" si="15"/>
        <v>15.017013787034321</v>
      </c>
      <c r="T192" s="12">
        <v>278489.21301725984</v>
      </c>
    </row>
    <row r="193" spans="1:20" x14ac:dyDescent="0.45">
      <c r="A193" s="11">
        <v>43800</v>
      </c>
      <c r="B193" s="1">
        <v>-1.071225749296127</v>
      </c>
      <c r="C193">
        <f>IF(B193&lt;2,0, 1)</f>
        <v>0</v>
      </c>
      <c r="D193">
        <v>39.4375</v>
      </c>
      <c r="E193" s="2">
        <v>5700972157</v>
      </c>
      <c r="F193" s="17">
        <f t="shared" si="16"/>
        <v>8.8481832902230884E-2</v>
      </c>
      <c r="G193" s="18">
        <v>140.12394741692174</v>
      </c>
      <c r="H193" s="19">
        <f t="shared" si="17"/>
        <v>-1.2714712408214578E-2</v>
      </c>
      <c r="I193" s="20">
        <v>-4.3999999999999997E-2</v>
      </c>
      <c r="J193" s="21">
        <v>123.17094457972</v>
      </c>
      <c r="K193" s="21">
        <f t="shared" si="14"/>
        <v>1.5514007544407349</v>
      </c>
      <c r="L193" s="5">
        <f t="shared" si="18"/>
        <v>-3.861447821302292</v>
      </c>
      <c r="M193" s="10">
        <v>1.25313647152294E-2</v>
      </c>
      <c r="N193" s="10">
        <f t="shared" si="20"/>
        <v>-3.0953194932188101E-2</v>
      </c>
      <c r="O193" s="7">
        <v>209.59714685890901</v>
      </c>
      <c r="P193" s="13">
        <v>3133</v>
      </c>
      <c r="Q193" s="13">
        <v>65806</v>
      </c>
      <c r="R193" s="22">
        <f t="shared" si="19"/>
        <v>0.1952774498229044</v>
      </c>
      <c r="S193" s="9">
        <f t="shared" si="15"/>
        <v>21.004149377593361</v>
      </c>
      <c r="T193" s="12">
        <v>278489.21301725984</v>
      </c>
    </row>
    <row r="194" spans="1:20" x14ac:dyDescent="0.45">
      <c r="A194" s="11">
        <v>43831</v>
      </c>
      <c r="B194" s="1">
        <v>-0.76628883376406143</v>
      </c>
      <c r="C194">
        <f>IF(B194&lt;2,0, 1)</f>
        <v>0</v>
      </c>
      <c r="D194">
        <v>34</v>
      </c>
      <c r="E194" s="2">
        <v>5975078878</v>
      </c>
      <c r="F194" s="17">
        <f t="shared" si="16"/>
        <v>4.8080698072421754E-2</v>
      </c>
      <c r="G194" s="18">
        <v>141.2098507128444</v>
      </c>
      <c r="H194" s="19">
        <f t="shared" si="17"/>
        <v>-4.0891223597870263E-3</v>
      </c>
      <c r="I194" s="20">
        <v>-8.5900000000000004E-2</v>
      </c>
      <c r="J194" s="21">
        <v>119.1856265039888</v>
      </c>
      <c r="K194" s="21">
        <f t="shared" si="14"/>
        <v>-2.4339173212904655</v>
      </c>
      <c r="L194" s="5">
        <f t="shared" si="18"/>
        <v>-5.1809494916146264</v>
      </c>
      <c r="M194" s="10">
        <v>1.7413223973361501E-2</v>
      </c>
      <c r="N194" s="10">
        <f t="shared" si="20"/>
        <v>-1.7405341524117601E-2</v>
      </c>
      <c r="O194" s="7">
        <v>214.20736732406689</v>
      </c>
      <c r="P194" s="13">
        <v>3535</v>
      </c>
      <c r="Q194" s="13">
        <v>66811</v>
      </c>
      <c r="R194" s="22">
        <f t="shared" si="19"/>
        <v>7.7179801367212697E-2</v>
      </c>
      <c r="S194" s="9">
        <f t="shared" si="15"/>
        <v>18.899858557284301</v>
      </c>
      <c r="T194" s="12">
        <v>275165.3836685266</v>
      </c>
    </row>
    <row r="195" spans="1:20" x14ac:dyDescent="0.45">
      <c r="A195" s="11">
        <v>43862</v>
      </c>
      <c r="B195" s="1">
        <v>0.25064222255852769</v>
      </c>
      <c r="C195">
        <f>IF(B195&lt;2,0, 1)</f>
        <v>0</v>
      </c>
      <c r="D195">
        <v>31.8125</v>
      </c>
      <c r="E195" s="2">
        <v>6164830548</v>
      </c>
      <c r="F195" s="17">
        <f t="shared" si="16"/>
        <v>3.1757182436311933E-2</v>
      </c>
      <c r="G195" s="18">
        <v>139.55669566015001</v>
      </c>
      <c r="H195" s="19">
        <f t="shared" si="17"/>
        <v>-2.8616856356162949E-2</v>
      </c>
      <c r="I195" s="20">
        <v>-8.5900000000000004E-2</v>
      </c>
      <c r="J195" s="21">
        <v>118.66231502076938</v>
      </c>
      <c r="K195" s="21">
        <f t="shared" ref="K195:K235" si="21">J195-AVERAGE($J$2:$J$235)</f>
        <v>-2.9572288045098816</v>
      </c>
      <c r="L195" s="5">
        <f t="shared" si="18"/>
        <v>-4.2720935143393888</v>
      </c>
      <c r="M195" s="10">
        <v>1.7413223973361501E-2</v>
      </c>
      <c r="N195" s="10">
        <f t="shared" si="20"/>
        <v>-1.7405341524117601E-2</v>
      </c>
      <c r="O195" s="7">
        <v>205.52550338283581</v>
      </c>
      <c r="P195" s="13">
        <v>3191</v>
      </c>
      <c r="Q195" s="13">
        <v>68015</v>
      </c>
      <c r="R195" s="22">
        <f t="shared" si="19"/>
        <v>0.10577313889024365</v>
      </c>
      <c r="S195" s="9">
        <f t="shared" ref="S195:S235" si="22">Q195/P195</f>
        <v>21.314634910686305</v>
      </c>
      <c r="T195" s="12">
        <v>275165.3836685266</v>
      </c>
    </row>
    <row r="196" spans="1:20" x14ac:dyDescent="0.45">
      <c r="A196" s="11">
        <v>43891</v>
      </c>
      <c r="B196" s="1">
        <v>0.30562190587061777</v>
      </c>
      <c r="C196">
        <f>IF(B196&lt;2,0, 1)</f>
        <v>0</v>
      </c>
      <c r="D196">
        <v>27.5625</v>
      </c>
      <c r="E196" s="2">
        <v>6568959561</v>
      </c>
      <c r="F196" s="17">
        <f t="shared" ref="F196:F235" si="23">(E196-E195)/E195</f>
        <v>6.5553953162769074E-2</v>
      </c>
      <c r="G196" s="18">
        <v>125.4670732348976</v>
      </c>
      <c r="H196" s="19">
        <f t="shared" si="17"/>
        <v>-0.11568569709081716</v>
      </c>
      <c r="I196" s="20">
        <v>-8.5900000000000004E-2</v>
      </c>
      <c r="J196" s="21">
        <v>112.33548118060526</v>
      </c>
      <c r="K196" s="21">
        <f t="shared" si="21"/>
        <v>-9.2840626446740089</v>
      </c>
      <c r="L196" s="5">
        <f t="shared" si="18"/>
        <v>0.64878829022967466</v>
      </c>
      <c r="M196" s="10">
        <v>1.7413223973361501E-2</v>
      </c>
      <c r="N196" s="10">
        <f t="shared" si="20"/>
        <v>-1.7405341524117601E-2</v>
      </c>
      <c r="O196" s="7">
        <v>193.5497065492406</v>
      </c>
      <c r="P196" s="13">
        <v>3154</v>
      </c>
      <c r="Q196" s="13">
        <v>66187</v>
      </c>
      <c r="R196" s="22">
        <f t="shared" si="19"/>
        <v>7.227100411495968E-2</v>
      </c>
      <c r="S196" s="9">
        <f t="shared" si="22"/>
        <v>20.985098287888395</v>
      </c>
      <c r="T196" s="12">
        <v>275165.3836685266</v>
      </c>
    </row>
    <row r="197" spans="1:20" x14ac:dyDescent="0.45">
      <c r="A197" s="11">
        <v>43922</v>
      </c>
      <c r="B197" s="1">
        <v>-1.3959718490559287</v>
      </c>
      <c r="C197">
        <f>IF(B197&lt;2,0, 1)</f>
        <v>0</v>
      </c>
      <c r="D197">
        <v>18.4375</v>
      </c>
      <c r="E197" s="2">
        <v>6987815156</v>
      </c>
      <c r="F197" s="17">
        <f t="shared" si="23"/>
        <v>6.3762851804835458E-2</v>
      </c>
      <c r="G197" s="18">
        <v>105.76475261392156</v>
      </c>
      <c r="H197" s="19">
        <f t="shared" si="17"/>
        <v>-0.25817850130621917</v>
      </c>
      <c r="I197" s="20">
        <v>-8.5900000000000004E-2</v>
      </c>
      <c r="J197" s="21">
        <v>113.07881830499828</v>
      </c>
      <c r="K197" s="21">
        <f t="shared" si="21"/>
        <v>-8.5407255202809864</v>
      </c>
      <c r="L197" s="5">
        <f t="shared" si="18"/>
        <v>-1.1605985608019722</v>
      </c>
      <c r="M197" s="10">
        <v>7.8177440258947999E-3</v>
      </c>
      <c r="N197" s="10">
        <f t="shared" si="20"/>
        <v>-7.2063327694584E-3</v>
      </c>
      <c r="O197" s="7">
        <v>182.49967545544351</v>
      </c>
      <c r="P197" s="13">
        <v>2894</v>
      </c>
      <c r="Q197" s="13">
        <v>71663</v>
      </c>
      <c r="R197" s="22">
        <f t="shared" si="19"/>
        <v>0.26561644561397313</v>
      </c>
      <c r="S197" s="9">
        <f t="shared" si="22"/>
        <v>24.762612301313062</v>
      </c>
      <c r="T197" s="12">
        <v>269913.10556470696</v>
      </c>
    </row>
    <row r="198" spans="1:20" x14ac:dyDescent="0.45">
      <c r="A198" s="11">
        <v>43952</v>
      </c>
      <c r="B198" s="1">
        <v>3.6909108997984825</v>
      </c>
      <c r="C198">
        <f>IF(B198&lt;2,0, 1)</f>
        <v>1</v>
      </c>
      <c r="D198">
        <v>26.5625</v>
      </c>
      <c r="E198" s="2">
        <v>7431719295</v>
      </c>
      <c r="F198" s="17">
        <f t="shared" si="23"/>
        <v>6.3525455251753085E-2</v>
      </c>
      <c r="G198" s="18">
        <v>116.89959370288769</v>
      </c>
      <c r="H198" s="19">
        <f t="shared" si="17"/>
        <v>-0.19140038477408194</v>
      </c>
      <c r="I198" s="20">
        <v>-8.5900000000000004E-2</v>
      </c>
      <c r="J198" s="21">
        <v>114.47987312137316</v>
      </c>
      <c r="K198" s="21">
        <f t="shared" si="21"/>
        <v>-7.1396707039061056</v>
      </c>
      <c r="L198" s="5">
        <f t="shared" si="18"/>
        <v>-3.7632707976432016</v>
      </c>
      <c r="M198" s="10">
        <v>7.8177440258947999E-3</v>
      </c>
      <c r="N198" s="10">
        <f t="shared" si="20"/>
        <v>-7.2063327694584E-3</v>
      </c>
      <c r="O198" s="7">
        <v>182.6087711971752</v>
      </c>
      <c r="P198" s="13">
        <v>3166</v>
      </c>
      <c r="Q198" s="13">
        <v>64779</v>
      </c>
      <c r="R198" s="22">
        <f t="shared" si="19"/>
        <v>0.29304563056409427</v>
      </c>
      <c r="S198" s="9">
        <f t="shared" si="22"/>
        <v>20.460833859759948</v>
      </c>
      <c r="T198" s="12">
        <v>269913.10556470696</v>
      </c>
    </row>
    <row r="199" spans="1:20" x14ac:dyDescent="0.45">
      <c r="A199" s="11">
        <v>43983</v>
      </c>
      <c r="B199" s="1">
        <v>1.0631840271129946</v>
      </c>
      <c r="C199">
        <f>IF(B199&lt;2,0, 1)</f>
        <v>0</v>
      </c>
      <c r="D199">
        <v>29.6875</v>
      </c>
      <c r="E199" s="2">
        <v>7941777291</v>
      </c>
      <c r="F199" s="17">
        <f t="shared" si="23"/>
        <v>6.8632570170291937E-2</v>
      </c>
      <c r="G199" s="18">
        <v>124.16459320876112</v>
      </c>
      <c r="H199" s="19">
        <f t="shared" si="17"/>
        <v>-0.13733306850230556</v>
      </c>
      <c r="I199" s="20">
        <v>-8.5900000000000004E-2</v>
      </c>
      <c r="J199" s="21">
        <v>115.94565429818826</v>
      </c>
      <c r="K199" s="21">
        <f t="shared" si="21"/>
        <v>-5.6738895270910064</v>
      </c>
      <c r="L199" s="5">
        <f t="shared" si="18"/>
        <v>-10.920831225018773</v>
      </c>
      <c r="M199" s="10">
        <v>7.8177440258947999E-3</v>
      </c>
      <c r="N199" s="10">
        <f t="shared" si="20"/>
        <v>-7.2063327694584E-3</v>
      </c>
      <c r="O199" s="7">
        <v>188.61535719067771</v>
      </c>
      <c r="P199" s="13">
        <v>3299</v>
      </c>
      <c r="Q199" s="13">
        <v>64278</v>
      </c>
      <c r="R199" s="22">
        <f t="shared" si="19"/>
        <v>3.8735637756338814E-2</v>
      </c>
      <c r="S199" s="9">
        <f t="shared" si="22"/>
        <v>19.484086086692937</v>
      </c>
      <c r="T199" s="12">
        <v>269913.10556470696</v>
      </c>
    </row>
    <row r="200" spans="1:20" x14ac:dyDescent="0.45">
      <c r="A200" s="11">
        <v>44013</v>
      </c>
      <c r="B200" s="1">
        <v>0.36198855982236916</v>
      </c>
      <c r="C200">
        <f>IF(B200&lt;2,0, 1)</f>
        <v>0</v>
      </c>
      <c r="D200">
        <v>29.1875</v>
      </c>
      <c r="E200" s="2">
        <v>8272299629</v>
      </c>
      <c r="F200" s="17">
        <f t="shared" si="23"/>
        <v>4.1618182667318517E-2</v>
      </c>
      <c r="G200" s="18">
        <v>126.18133341670941</v>
      </c>
      <c r="H200" s="19">
        <f t="shared" si="17"/>
        <v>-0.13480853333016143</v>
      </c>
      <c r="I200" s="20">
        <v>-8.5900000000000004E-2</v>
      </c>
      <c r="J200" s="21">
        <v>120.98158966164783</v>
      </c>
      <c r="K200" s="21">
        <f t="shared" si="21"/>
        <v>-0.63795416363143431</v>
      </c>
      <c r="L200" s="5">
        <f t="shared" si="18"/>
        <v>-9.2323694152052411</v>
      </c>
      <c r="M200" s="10">
        <v>8.5088544345787998E-3</v>
      </c>
      <c r="N200" s="10">
        <f t="shared" si="20"/>
        <v>7.3976615919770004E-4</v>
      </c>
      <c r="O200" s="7">
        <v>194.6714670007031</v>
      </c>
      <c r="P200" s="13">
        <v>3451</v>
      </c>
      <c r="Q200" s="13">
        <v>67899</v>
      </c>
      <c r="R200" s="22">
        <f t="shared" si="19"/>
        <v>0.170753155390027</v>
      </c>
      <c r="S200" s="9">
        <f t="shared" si="22"/>
        <v>19.675166618371488</v>
      </c>
      <c r="T200" s="12">
        <v>267537.06610929582</v>
      </c>
    </row>
    <row r="201" spans="1:20" x14ac:dyDescent="0.45">
      <c r="A201" s="11">
        <v>44044</v>
      </c>
      <c r="B201" s="1">
        <v>0.80779438352668587</v>
      </c>
      <c r="C201">
        <f>IF(B201&lt;2,0, 1)</f>
        <v>0</v>
      </c>
      <c r="D201">
        <v>29.625</v>
      </c>
      <c r="E201" s="2">
        <v>8443082676</v>
      </c>
      <c r="F201" s="17">
        <f t="shared" si="23"/>
        <v>2.0645171797366964E-2</v>
      </c>
      <c r="G201" s="18">
        <v>129.05568908637437</v>
      </c>
      <c r="H201" s="19">
        <f t="shared" si="17"/>
        <v>-0.10940426766984314</v>
      </c>
      <c r="I201" s="20">
        <v>-8.5900000000000004E-2</v>
      </c>
      <c r="J201" s="21">
        <v>120.51296723873834</v>
      </c>
      <c r="K201" s="21">
        <f t="shared" si="21"/>
        <v>-1.1065765865409247</v>
      </c>
      <c r="L201" s="5">
        <f t="shared" si="18"/>
        <v>19.468586407462794</v>
      </c>
      <c r="M201" s="10">
        <v>8.5088544345787998E-3</v>
      </c>
      <c r="N201" s="10">
        <f t="shared" si="20"/>
        <v>7.3976615919770004E-4</v>
      </c>
      <c r="O201" s="7">
        <v>198.1748558738241</v>
      </c>
      <c r="P201" s="13">
        <v>3508</v>
      </c>
      <c r="Q201" s="13">
        <v>54100</v>
      </c>
      <c r="R201" s="22">
        <f t="shared" si="19"/>
        <v>2.7384253104941303E-2</v>
      </c>
      <c r="S201" s="9">
        <f t="shared" si="22"/>
        <v>15.421892816419613</v>
      </c>
      <c r="T201" s="12">
        <v>267537.06610929582</v>
      </c>
    </row>
    <row r="202" spans="1:20" x14ac:dyDescent="0.45">
      <c r="A202" s="11">
        <v>44075</v>
      </c>
      <c r="B202" s="1">
        <v>1.0974008614408282</v>
      </c>
      <c r="C202">
        <f>IF(B202&lt;2,0, 1)</f>
        <v>0</v>
      </c>
      <c r="D202">
        <v>29.6875</v>
      </c>
      <c r="E202" s="2">
        <v>8635185823</v>
      </c>
      <c r="F202" s="17">
        <f t="shared" si="23"/>
        <v>2.2752726032881972E-2</v>
      </c>
      <c r="G202" s="18">
        <v>131.22344399553592</v>
      </c>
      <c r="H202" s="19">
        <f t="shared" si="17"/>
        <v>-6.7089870178658431E-2</v>
      </c>
      <c r="I202" s="20">
        <v>-8.5900000000000004E-2</v>
      </c>
      <c r="J202" s="21">
        <v>118.76673118267497</v>
      </c>
      <c r="K202" s="21">
        <f t="shared" si="21"/>
        <v>-2.8528126426042917</v>
      </c>
      <c r="L202" s="5">
        <f t="shared" si="18"/>
        <v>6.7490813168680006</v>
      </c>
      <c r="M202" s="10">
        <v>8.5088544345787998E-3</v>
      </c>
      <c r="N202" s="10">
        <f t="shared" si="20"/>
        <v>7.3976615919770004E-4</v>
      </c>
      <c r="O202" s="7">
        <v>210.01543657604589</v>
      </c>
      <c r="P202" s="13">
        <v>4129</v>
      </c>
      <c r="Q202" s="13">
        <v>48703</v>
      </c>
      <c r="R202" s="22">
        <f t="shared" si="19"/>
        <v>-6.1220741587250105E-3</v>
      </c>
      <c r="S202" s="9">
        <f t="shared" si="22"/>
        <v>11.79534996367159</v>
      </c>
      <c r="T202" s="12">
        <v>267537.06610929582</v>
      </c>
    </row>
    <row r="203" spans="1:20" x14ac:dyDescent="0.45">
      <c r="A203" s="11">
        <v>44105</v>
      </c>
      <c r="B203" s="1">
        <v>1.5970117299639819</v>
      </c>
      <c r="C203">
        <f>IF(B203&lt;2,0, 1)</f>
        <v>0</v>
      </c>
      <c r="D203">
        <v>31.75</v>
      </c>
      <c r="E203" s="2">
        <v>8619958443</v>
      </c>
      <c r="F203" s="17">
        <f t="shared" si="23"/>
        <v>-1.7634108069153013E-3</v>
      </c>
      <c r="G203" s="18">
        <v>133.54352848592683</v>
      </c>
      <c r="H203" s="19">
        <f t="shared" si="17"/>
        <v>-7.2098537310993763E-2</v>
      </c>
      <c r="I203" s="20">
        <v>-8.5900000000000004E-2</v>
      </c>
      <c r="J203" s="21">
        <v>117.44168176308392</v>
      </c>
      <c r="K203" s="21">
        <f t="shared" si="21"/>
        <v>-4.1778620621953451</v>
      </c>
      <c r="L203" s="5">
        <f t="shared" si="18"/>
        <v>9.4925261263907714</v>
      </c>
      <c r="M203" s="10">
        <v>5.6290453603167001E-3</v>
      </c>
      <c r="N203" s="10">
        <f t="shared" si="20"/>
        <v>1.25313647152294E-2</v>
      </c>
      <c r="O203" s="7">
        <v>224.52591616719539</v>
      </c>
      <c r="P203" s="13">
        <v>4004</v>
      </c>
      <c r="Q203" s="13">
        <v>43260</v>
      </c>
      <c r="R203" s="22">
        <f t="shared" si="19"/>
        <v>-0.19822073950514318</v>
      </c>
      <c r="S203" s="9">
        <f t="shared" si="22"/>
        <v>10.804195804195805</v>
      </c>
      <c r="T203" s="12">
        <v>270694.35754260398</v>
      </c>
    </row>
    <row r="204" spans="1:20" x14ac:dyDescent="0.45">
      <c r="A204" s="11">
        <v>44136</v>
      </c>
      <c r="B204" s="1">
        <v>1.641605705393123</v>
      </c>
      <c r="C204">
        <f>IF(B204&lt;2,0, 1)</f>
        <v>0</v>
      </c>
      <c r="D204">
        <v>33.75</v>
      </c>
      <c r="E204" s="2">
        <v>8727908984</v>
      </c>
      <c r="F204" s="17">
        <f t="shared" si="23"/>
        <v>1.2523324992090103E-2</v>
      </c>
      <c r="G204" s="18">
        <v>134.9526741778364</v>
      </c>
      <c r="H204" s="19">
        <f t="shared" si="17"/>
        <v>-4.2316261164724325E-2</v>
      </c>
      <c r="I204" s="20">
        <v>-8.5900000000000004E-2</v>
      </c>
      <c r="J204" s="21">
        <v>121.51433307927419</v>
      </c>
      <c r="K204" s="21">
        <f t="shared" si="21"/>
        <v>-0.10521074600507063</v>
      </c>
      <c r="L204" s="5">
        <f t="shared" si="18"/>
        <v>2.2251859394038576</v>
      </c>
      <c r="M204" s="10">
        <v>5.6290453603167001E-3</v>
      </c>
      <c r="N204" s="10">
        <f t="shared" si="20"/>
        <v>1.25313647152294E-2</v>
      </c>
      <c r="O204" s="7">
        <v>237.53609585947339</v>
      </c>
      <c r="P204" s="13">
        <v>4115</v>
      </c>
      <c r="Q204" s="13">
        <v>43772</v>
      </c>
      <c r="R204" s="22">
        <f t="shared" si="19"/>
        <v>-0.14496122516750332</v>
      </c>
      <c r="S204" s="9">
        <f t="shared" si="22"/>
        <v>10.637181044957472</v>
      </c>
      <c r="T204" s="12">
        <v>270694.35754260398</v>
      </c>
    </row>
    <row r="205" spans="1:20" x14ac:dyDescent="0.45">
      <c r="A205" s="11">
        <v>44166</v>
      </c>
      <c r="B205" s="1">
        <v>0.4843684499637651</v>
      </c>
      <c r="C205">
        <f>IF(B205&lt;2,0, 1)</f>
        <v>0</v>
      </c>
      <c r="D205">
        <v>34.25</v>
      </c>
      <c r="E205" s="2">
        <v>9524644522</v>
      </c>
      <c r="F205" s="17">
        <f t="shared" si="23"/>
        <v>9.1285958579606558E-2</v>
      </c>
      <c r="G205" s="18">
        <v>136.9943084261412</v>
      </c>
      <c r="H205" s="19">
        <f t="shared" si="17"/>
        <v>-2.2334790365765782E-2</v>
      </c>
      <c r="I205" s="20">
        <v>-8.5900000000000004E-2</v>
      </c>
      <c r="J205" s="21">
        <v>124.51451471615884</v>
      </c>
      <c r="K205" s="21">
        <f t="shared" si="21"/>
        <v>2.894970890879577</v>
      </c>
      <c r="L205" s="5">
        <f t="shared" si="18"/>
        <v>1.5514007544407349</v>
      </c>
      <c r="M205" s="10">
        <v>5.6290453603167001E-3</v>
      </c>
      <c r="N205" s="10">
        <f t="shared" si="20"/>
        <v>1.25313647152294E-2</v>
      </c>
      <c r="O205" s="7">
        <v>247.36100141648271</v>
      </c>
      <c r="P205" s="13">
        <v>3908</v>
      </c>
      <c r="Q205" s="13">
        <v>44848</v>
      </c>
      <c r="R205" s="22">
        <f t="shared" si="19"/>
        <v>-0.31848159742272741</v>
      </c>
      <c r="S205" s="9">
        <f t="shared" si="22"/>
        <v>11.475946775844422</v>
      </c>
      <c r="T205" s="12">
        <v>270694.35754260398</v>
      </c>
    </row>
    <row r="206" spans="1:20" x14ac:dyDescent="0.45">
      <c r="A206" s="11">
        <v>44197</v>
      </c>
      <c r="B206" s="1">
        <v>0.67840084078764529</v>
      </c>
      <c r="C206">
        <f>IF(B206&lt;2,0, 1)</f>
        <v>0</v>
      </c>
      <c r="D206">
        <v>34.1875</v>
      </c>
      <c r="E206" s="2">
        <v>9662324474</v>
      </c>
      <c r="F206" s="17">
        <f t="shared" si="23"/>
        <v>1.4455127609433318E-2</v>
      </c>
      <c r="G206" s="18">
        <v>140.62577438004996</v>
      </c>
      <c r="H206" s="19">
        <f t="shared" si="17"/>
        <v>-4.13622937667557E-3</v>
      </c>
      <c r="I206" s="20">
        <v>-4.3299999999999998E-2</v>
      </c>
      <c r="J206" s="21">
        <v>122.69919352637963</v>
      </c>
      <c r="K206" s="21">
        <f t="shared" si="21"/>
        <v>1.0796497011003652</v>
      </c>
      <c r="L206" s="5">
        <f t="shared" si="18"/>
        <v>-2.4339173212904655</v>
      </c>
      <c r="M206" s="10">
        <v>9.5362157163785995E-3</v>
      </c>
      <c r="N206" s="10">
        <f t="shared" si="20"/>
        <v>1.7413223973361501E-2</v>
      </c>
      <c r="O206" s="7">
        <v>270.63421437632741</v>
      </c>
      <c r="P206" s="13">
        <v>3844</v>
      </c>
      <c r="Q206" s="13">
        <v>44917</v>
      </c>
      <c r="R206" s="22">
        <f t="shared" si="19"/>
        <v>-0.32770052835610908</v>
      </c>
      <c r="S206" s="9">
        <f t="shared" si="22"/>
        <v>11.684963579604579</v>
      </c>
      <c r="T206" s="12">
        <v>268181.91683411109</v>
      </c>
    </row>
    <row r="207" spans="1:20" x14ac:dyDescent="0.45">
      <c r="A207" s="11">
        <v>44228</v>
      </c>
      <c r="B207" s="1">
        <v>0.46803146861415645</v>
      </c>
      <c r="C207">
        <f>IF(B207&lt;2,0, 1)</f>
        <v>0</v>
      </c>
      <c r="D207">
        <v>33.625</v>
      </c>
      <c r="E207" s="2">
        <v>9872866916</v>
      </c>
      <c r="F207" s="17">
        <f t="shared" si="23"/>
        <v>2.1790040540093748E-2</v>
      </c>
      <c r="G207" s="18">
        <v>138.39348989928357</v>
      </c>
      <c r="H207" s="19">
        <f t="shared" ref="H207:H235" si="24">(G207-G195)/G195</f>
        <v>-8.3350050340766039E-3</v>
      </c>
      <c r="I207" s="20">
        <v>-4.3299999999999998E-2</v>
      </c>
      <c r="J207" s="21">
        <v>121.92498349425213</v>
      </c>
      <c r="K207" s="21">
        <f t="shared" si="21"/>
        <v>0.30543966897286623</v>
      </c>
      <c r="L207" s="5">
        <f t="shared" ref="L207:L235" si="25">K195</f>
        <v>-2.9572288045098816</v>
      </c>
      <c r="M207" s="10">
        <v>9.5362157163785995E-3</v>
      </c>
      <c r="N207" s="10">
        <f t="shared" si="20"/>
        <v>1.7413223973361501E-2</v>
      </c>
      <c r="O207" s="7">
        <v>278.30588879145381</v>
      </c>
      <c r="P207" s="13">
        <v>3713</v>
      </c>
      <c r="Q207" s="13">
        <v>44791</v>
      </c>
      <c r="R207" s="22">
        <f t="shared" ref="R207:R235" si="26">(Q207/Q195)-1</f>
        <v>-0.34145409100933621</v>
      </c>
      <c r="S207" s="9">
        <f t="shared" si="22"/>
        <v>12.063291139240507</v>
      </c>
      <c r="T207" s="12">
        <v>268181.91683411109</v>
      </c>
    </row>
    <row r="208" spans="1:20" x14ac:dyDescent="0.45">
      <c r="A208" s="11">
        <v>44256</v>
      </c>
      <c r="B208" s="1">
        <v>0.52975296802225591</v>
      </c>
      <c r="C208">
        <f>IF(B208&lt;2,0, 1)</f>
        <v>0</v>
      </c>
      <c r="D208">
        <v>34.0625</v>
      </c>
      <c r="E208" s="2">
        <v>10249418544</v>
      </c>
      <c r="F208" s="17">
        <f t="shared" si="23"/>
        <v>3.814004900539672E-2</v>
      </c>
      <c r="G208" s="18">
        <v>140.50970079022005</v>
      </c>
      <c r="H208" s="19">
        <f t="shared" si="24"/>
        <v>0.1198930298402663</v>
      </c>
      <c r="I208" s="20">
        <v>-4.3299999999999998E-2</v>
      </c>
      <c r="J208" s="21">
        <v>117.78824942666128</v>
      </c>
      <c r="K208" s="21">
        <f t="shared" si="21"/>
        <v>-3.8312943986179846</v>
      </c>
      <c r="L208" s="5">
        <f t="shared" si="25"/>
        <v>-9.2840626446740089</v>
      </c>
      <c r="M208" s="10">
        <v>9.5362157163785995E-3</v>
      </c>
      <c r="N208" s="10">
        <f t="shared" si="20"/>
        <v>1.7413223973361501E-2</v>
      </c>
      <c r="O208" s="7">
        <v>281.22708688161009</v>
      </c>
      <c r="P208" s="13">
        <v>5320</v>
      </c>
      <c r="Q208" s="13">
        <v>43561</v>
      </c>
      <c r="R208" s="22">
        <f t="shared" si="26"/>
        <v>-0.3418496079290495</v>
      </c>
      <c r="S208" s="9">
        <f t="shared" si="22"/>
        <v>8.1881578947368414</v>
      </c>
      <c r="T208" s="12">
        <v>268181.91683411109</v>
      </c>
    </row>
    <row r="209" spans="1:20" x14ac:dyDescent="0.45">
      <c r="A209" s="11">
        <v>44287</v>
      </c>
      <c r="B209" s="1">
        <v>6.6324412502656582E-2</v>
      </c>
      <c r="C209">
        <f>IF(B209&lt;2,0, 1)</f>
        <v>0</v>
      </c>
      <c r="D209">
        <v>34.0625</v>
      </c>
      <c r="E209" s="2">
        <v>10606636449</v>
      </c>
      <c r="F209" s="17">
        <f t="shared" si="23"/>
        <v>3.4852504409541851E-2</v>
      </c>
      <c r="G209" s="18">
        <v>139.13466606477488</v>
      </c>
      <c r="H209" s="19">
        <f t="shared" si="24"/>
        <v>0.31551072191947732</v>
      </c>
      <c r="I209" s="20">
        <v>-4.3299999999999998E-2</v>
      </c>
      <c r="J209" s="21">
        <v>117.54179418439794</v>
      </c>
      <c r="K209" s="21">
        <f t="shared" si="21"/>
        <v>-4.0777496408813221</v>
      </c>
      <c r="L209" s="5">
        <f t="shared" si="25"/>
        <v>-8.5407255202809864</v>
      </c>
      <c r="M209" s="10">
        <v>1.36079610005083E-2</v>
      </c>
      <c r="N209" s="10">
        <f t="shared" si="20"/>
        <v>7.8177440258947999E-3</v>
      </c>
      <c r="O209" s="7">
        <v>292.13626459427218</v>
      </c>
      <c r="P209" s="13">
        <v>4673</v>
      </c>
      <c r="Q209" s="13">
        <v>43568</v>
      </c>
      <c r="R209" s="22">
        <f t="shared" si="26"/>
        <v>-0.39204331384396407</v>
      </c>
      <c r="S209" s="9">
        <f t="shared" si="22"/>
        <v>9.3233468863684994</v>
      </c>
      <c r="T209" s="12">
        <v>269316.95498729299</v>
      </c>
    </row>
    <row r="210" spans="1:20" x14ac:dyDescent="0.45">
      <c r="A210" s="11">
        <v>44317</v>
      </c>
      <c r="B210" s="1">
        <v>-0.39139135682355225</v>
      </c>
      <c r="C210">
        <f>IF(B210&lt;2,0, 1)</f>
        <v>0</v>
      </c>
      <c r="D210">
        <v>34.125</v>
      </c>
      <c r="E210" s="2">
        <v>10937162812</v>
      </c>
      <c r="F210" s="17">
        <f t="shared" si="23"/>
        <v>3.1162222311406008E-2</v>
      </c>
      <c r="G210" s="18">
        <v>138.56594659008394</v>
      </c>
      <c r="H210" s="19">
        <f t="shared" si="24"/>
        <v>0.1853415585195575</v>
      </c>
      <c r="I210" s="20">
        <v>-4.3299999999999998E-2</v>
      </c>
      <c r="J210" s="21">
        <v>117.88150757495251</v>
      </c>
      <c r="K210" s="21">
        <f t="shared" si="21"/>
        <v>-3.7380362503267577</v>
      </c>
      <c r="L210" s="5">
        <f t="shared" si="25"/>
        <v>-7.1396707039061056</v>
      </c>
      <c r="M210" s="10">
        <v>1.36079610005083E-2</v>
      </c>
      <c r="N210" s="10">
        <f t="shared" si="20"/>
        <v>7.8177440258947999E-3</v>
      </c>
      <c r="O210" s="7">
        <v>317.37071589615829</v>
      </c>
      <c r="P210" s="13">
        <v>5141</v>
      </c>
      <c r="Q210" s="13">
        <v>42589</v>
      </c>
      <c r="R210" s="22">
        <f t="shared" si="26"/>
        <v>-0.34254928294663389</v>
      </c>
      <c r="S210" s="9">
        <f t="shared" si="22"/>
        <v>8.2841859560396802</v>
      </c>
      <c r="T210" s="12">
        <v>269316.95498729299</v>
      </c>
    </row>
    <row r="211" spans="1:20" x14ac:dyDescent="0.45">
      <c r="A211" s="11">
        <v>44348</v>
      </c>
      <c r="B211" s="1">
        <v>8.1147400227929434E-4</v>
      </c>
      <c r="C211">
        <f>IF(B211&lt;2,0, 1)</f>
        <v>0</v>
      </c>
      <c r="D211">
        <v>34.125</v>
      </c>
      <c r="E211" s="2">
        <v>11454664533</v>
      </c>
      <c r="F211" s="17">
        <f t="shared" si="23"/>
        <v>4.731590174667686E-2</v>
      </c>
      <c r="G211" s="18">
        <v>140.91866732193668</v>
      </c>
      <c r="H211" s="19">
        <f t="shared" si="24"/>
        <v>0.13493439377686767</v>
      </c>
      <c r="I211" s="20">
        <v>-4.3299999999999998E-2</v>
      </c>
      <c r="J211" s="21">
        <v>115.97192865428812</v>
      </c>
      <c r="K211" s="21">
        <f t="shared" si="21"/>
        <v>-5.6476151709911449</v>
      </c>
      <c r="L211" s="5">
        <f t="shared" si="25"/>
        <v>-5.6738895270910064</v>
      </c>
      <c r="M211" s="10">
        <v>1.36079610005083E-2</v>
      </c>
      <c r="N211" s="10">
        <f t="shared" si="20"/>
        <v>7.8177440258947999E-3</v>
      </c>
      <c r="O211" s="7">
        <v>309.38490990497979</v>
      </c>
      <c r="P211" s="13">
        <v>5909</v>
      </c>
      <c r="Q211" s="13">
        <v>43242</v>
      </c>
      <c r="R211" s="22">
        <f t="shared" si="26"/>
        <v>-0.3272659385792962</v>
      </c>
      <c r="S211" s="9">
        <f t="shared" si="22"/>
        <v>7.3179895075308847</v>
      </c>
      <c r="T211" s="12">
        <v>269316.95498729299</v>
      </c>
    </row>
    <row r="212" spans="1:20" x14ac:dyDescent="0.45">
      <c r="A212" s="11">
        <v>44378</v>
      </c>
      <c r="B212" s="1">
        <v>0.1439264969034825</v>
      </c>
      <c r="C212">
        <f>IF(B212&lt;2,0, 1)</f>
        <v>0</v>
      </c>
      <c r="D212">
        <v>34.125</v>
      </c>
      <c r="E212" s="2">
        <v>11757871964</v>
      </c>
      <c r="F212" s="17">
        <f t="shared" si="23"/>
        <v>2.6470214830515804E-2</v>
      </c>
      <c r="G212" s="18">
        <v>141.9043652066934</v>
      </c>
      <c r="H212" s="19">
        <f t="shared" si="24"/>
        <v>0.12460663843247902</v>
      </c>
      <c r="I212" s="20">
        <v>-4.3299999999999998E-2</v>
      </c>
      <c r="J212" s="21">
        <v>113.558956674634</v>
      </c>
      <c r="K212" s="21">
        <f t="shared" si="21"/>
        <v>-8.0605871506452615</v>
      </c>
      <c r="L212" s="5">
        <f t="shared" si="25"/>
        <v>-0.63795416363143431</v>
      </c>
      <c r="M212" s="10">
        <v>1.00256902717648E-2</v>
      </c>
      <c r="N212" s="10">
        <f t="shared" si="20"/>
        <v>8.5088544345787998E-3</v>
      </c>
      <c r="O212" s="7">
        <v>295.47207680298021</v>
      </c>
      <c r="P212" s="13">
        <v>5715</v>
      </c>
      <c r="Q212" s="13">
        <v>43386</v>
      </c>
      <c r="R212" s="22">
        <f t="shared" si="26"/>
        <v>-0.36102151725356779</v>
      </c>
      <c r="S212" s="9">
        <f t="shared" si="22"/>
        <v>7.5916010498687667</v>
      </c>
      <c r="T212" s="12">
        <v>267937.19618295872</v>
      </c>
    </row>
    <row r="213" spans="1:20" x14ac:dyDescent="0.45">
      <c r="A213" s="11">
        <v>44409</v>
      </c>
      <c r="B213" s="1">
        <v>-1.1297183492796357</v>
      </c>
      <c r="C213">
        <f>IF(B213&lt;2,0, 1)</f>
        <v>0</v>
      </c>
      <c r="D213">
        <v>34.1875</v>
      </c>
      <c r="E213" s="2">
        <v>12085566026</v>
      </c>
      <c r="F213" s="17">
        <f t="shared" si="23"/>
        <v>2.7870184588106302E-2</v>
      </c>
      <c r="G213" s="18">
        <v>143.95469680257639</v>
      </c>
      <c r="H213" s="19">
        <f t="shared" si="24"/>
        <v>0.11544634585020437</v>
      </c>
      <c r="I213" s="20">
        <v>-4.3299999999999998E-2</v>
      </c>
      <c r="J213" s="21">
        <v>112.73843762514176</v>
      </c>
      <c r="K213" s="21">
        <f t="shared" si="21"/>
        <v>-8.8811062001375092</v>
      </c>
      <c r="L213" s="5">
        <f t="shared" si="25"/>
        <v>-1.1065765865409247</v>
      </c>
      <c r="M213" s="10">
        <v>1.00256902717648E-2</v>
      </c>
      <c r="N213" s="10">
        <f t="shared" si="20"/>
        <v>8.5088544345787998E-3</v>
      </c>
      <c r="O213" s="7">
        <v>290.6427789320141</v>
      </c>
      <c r="P213" s="13">
        <v>5754</v>
      </c>
      <c r="Q213" s="13">
        <v>42842</v>
      </c>
      <c r="R213" s="22">
        <f t="shared" si="26"/>
        <v>-0.20809611829944552</v>
      </c>
      <c r="S213" s="9">
        <f t="shared" si="22"/>
        <v>7.445603058741745</v>
      </c>
      <c r="T213" s="12">
        <v>267937.19618295872</v>
      </c>
    </row>
    <row r="214" spans="1:20" x14ac:dyDescent="0.45">
      <c r="A214" s="11">
        <v>44440</v>
      </c>
      <c r="B214" s="1">
        <v>1.3392783966916713</v>
      </c>
      <c r="C214">
        <f>IF(B214&lt;2,0, 1)</f>
        <v>0</v>
      </c>
      <c r="D214">
        <v>34.1875</v>
      </c>
      <c r="E214" s="2">
        <v>12488101922</v>
      </c>
      <c r="F214" s="17">
        <f t="shared" si="23"/>
        <v>3.3307161214792408E-2</v>
      </c>
      <c r="G214" s="18">
        <v>145.00771293961407</v>
      </c>
      <c r="H214" s="19">
        <f t="shared" si="24"/>
        <v>0.10504425523648865</v>
      </c>
      <c r="I214" s="20">
        <v>-4.3299999999999998E-2</v>
      </c>
      <c r="J214" s="21">
        <v>107.5257967367274</v>
      </c>
      <c r="K214" s="21">
        <f t="shared" si="21"/>
        <v>-14.093747088551865</v>
      </c>
      <c r="L214" s="5">
        <f t="shared" si="25"/>
        <v>-2.8528126426042917</v>
      </c>
      <c r="M214" s="10">
        <v>1.00256902717648E-2</v>
      </c>
      <c r="N214" s="10">
        <f t="shared" si="20"/>
        <v>8.5088544345787998E-3</v>
      </c>
      <c r="O214" s="7">
        <v>276.80387846437958</v>
      </c>
      <c r="P214" s="13">
        <v>5886</v>
      </c>
      <c r="Q214" s="13">
        <v>41379</v>
      </c>
      <c r="R214" s="22">
        <f t="shared" si="26"/>
        <v>-0.15038088002792438</v>
      </c>
      <c r="S214" s="9">
        <f t="shared" si="22"/>
        <v>7.0300713557594294</v>
      </c>
      <c r="T214" s="12">
        <v>267937.19618295872</v>
      </c>
    </row>
    <row r="215" spans="1:20" x14ac:dyDescent="0.45">
      <c r="A215" s="11">
        <v>44470</v>
      </c>
      <c r="B215" s="1">
        <v>0.22033988667262719</v>
      </c>
      <c r="C215">
        <f>IF(B215&lt;2,0, 1)</f>
        <v>0</v>
      </c>
      <c r="D215">
        <v>34.125</v>
      </c>
      <c r="E215" s="2">
        <v>12945540668</v>
      </c>
      <c r="F215" s="17">
        <f t="shared" si="23"/>
        <v>3.6629965775194451E-2</v>
      </c>
      <c r="G215" s="18">
        <v>144.31817967533701</v>
      </c>
      <c r="H215" s="19">
        <f t="shared" si="24"/>
        <v>8.0682690592121353E-2</v>
      </c>
      <c r="I215" s="20">
        <v>-4.3299999999999998E-2</v>
      </c>
      <c r="J215" s="21">
        <v>104.61996772595282</v>
      </c>
      <c r="K215" s="21">
        <f t="shared" si="21"/>
        <v>-16.999576099326447</v>
      </c>
      <c r="L215" s="5">
        <f t="shared" si="25"/>
        <v>-4.1778620621953451</v>
      </c>
      <c r="M215" s="10">
        <v>3.2494239356743002E-3</v>
      </c>
      <c r="N215" s="10">
        <f t="shared" si="20"/>
        <v>5.6290453603167001E-3</v>
      </c>
      <c r="O215" s="7">
        <v>279.19212152621628</v>
      </c>
      <c r="P215" s="13">
        <v>5247</v>
      </c>
      <c r="Q215" s="13">
        <v>39856</v>
      </c>
      <c r="R215" s="22">
        <f t="shared" si="26"/>
        <v>-7.868700878409618E-2</v>
      </c>
      <c r="S215" s="9">
        <f t="shared" si="22"/>
        <v>7.595959595959596</v>
      </c>
      <c r="T215" s="12">
        <v>267004.1586784735</v>
      </c>
    </row>
    <row r="216" spans="1:20" x14ac:dyDescent="0.45">
      <c r="A216" s="11">
        <v>44501</v>
      </c>
      <c r="B216" s="1">
        <v>0.72403655181785165</v>
      </c>
      <c r="C216">
        <f>IF(B216&lt;2,0, 1)</f>
        <v>0</v>
      </c>
      <c r="D216">
        <v>34.125</v>
      </c>
      <c r="E216" s="2">
        <v>13297156117</v>
      </c>
      <c r="F216" s="17">
        <f t="shared" si="23"/>
        <v>2.7161125055916436E-2</v>
      </c>
      <c r="G216" s="18">
        <v>146.77487158227865</v>
      </c>
      <c r="H216" s="19">
        <f t="shared" si="24"/>
        <v>8.7602542717036699E-2</v>
      </c>
      <c r="I216" s="20">
        <v>-4.3299999999999998E-2</v>
      </c>
      <c r="J216" s="21">
        <v>103.25997641001534</v>
      </c>
      <c r="K216" s="21">
        <f t="shared" si="21"/>
        <v>-18.359567415263925</v>
      </c>
      <c r="L216" s="5">
        <f t="shared" si="25"/>
        <v>-0.10521074600507063</v>
      </c>
      <c r="M216" s="10">
        <v>3.2494239356743002E-3</v>
      </c>
      <c r="N216" s="10">
        <f t="shared" si="20"/>
        <v>5.6290453603167001E-3</v>
      </c>
      <c r="O216" s="7">
        <v>289.54378950728358</v>
      </c>
      <c r="P216" s="13">
        <v>5767</v>
      </c>
      <c r="Q216" s="13">
        <v>38652</v>
      </c>
      <c r="R216" s="22">
        <f t="shared" si="26"/>
        <v>-0.11696975235310247</v>
      </c>
      <c r="S216" s="9">
        <f t="shared" si="22"/>
        <v>6.7022715449973989</v>
      </c>
      <c r="T216" s="12">
        <v>267004.1586784735</v>
      </c>
    </row>
    <row r="217" spans="1:20" x14ac:dyDescent="0.45">
      <c r="A217" s="11">
        <v>44531</v>
      </c>
      <c r="B217" s="1">
        <v>1.0809779244990732</v>
      </c>
      <c r="C217">
        <f>IF(B217&lt;2,0, 1)</f>
        <v>0</v>
      </c>
      <c r="D217">
        <v>34.125</v>
      </c>
      <c r="E217" s="2">
        <v>14518199871</v>
      </c>
      <c r="F217" s="17">
        <f t="shared" si="23"/>
        <v>9.1827436126656711E-2</v>
      </c>
      <c r="G217" s="18">
        <v>150.50016985255422</v>
      </c>
      <c r="H217" s="19">
        <f t="shared" si="24"/>
        <v>9.8587025852205676E-2</v>
      </c>
      <c r="I217" s="20">
        <v>-4.3299999999999998E-2</v>
      </c>
      <c r="J217" s="21">
        <v>102.19535085265454</v>
      </c>
      <c r="K217" s="21">
        <f t="shared" si="21"/>
        <v>-19.424192972624724</v>
      </c>
      <c r="L217" s="5">
        <f t="shared" si="25"/>
        <v>2.894970890879577</v>
      </c>
      <c r="M217" s="10">
        <v>3.2494239356743002E-3</v>
      </c>
      <c r="N217" s="10">
        <f t="shared" si="20"/>
        <v>5.6290453603167001E-3</v>
      </c>
      <c r="O217" s="7">
        <v>295.27888772452542</v>
      </c>
      <c r="P217" s="13">
        <v>6216</v>
      </c>
      <c r="Q217" s="13">
        <v>39387</v>
      </c>
      <c r="R217" s="22">
        <f t="shared" si="26"/>
        <v>-0.12176685693899392</v>
      </c>
      <c r="S217" s="9">
        <f t="shared" si="22"/>
        <v>6.336389961389961</v>
      </c>
      <c r="T217" s="12">
        <v>267004.1586784735</v>
      </c>
    </row>
    <row r="218" spans="1:20" x14ac:dyDescent="0.45">
      <c r="A218" s="11">
        <v>44562</v>
      </c>
      <c r="B218" s="1">
        <v>1.9362174747347849</v>
      </c>
      <c r="C218">
        <f>IF(B218&lt;2,0, 1)</f>
        <v>0</v>
      </c>
      <c r="D218">
        <v>37.625</v>
      </c>
      <c r="E218" s="2">
        <v>14551823336</v>
      </c>
      <c r="F218" s="17">
        <f t="shared" si="23"/>
        <v>2.3159527557657222E-3</v>
      </c>
      <c r="G218" s="18">
        <v>147.24923070928043</v>
      </c>
      <c r="H218" s="19">
        <f t="shared" si="24"/>
        <v>4.7099874531749485E-2</v>
      </c>
      <c r="I218" s="20">
        <v>-4.6600000000000003E-2</v>
      </c>
      <c r="J218" s="21">
        <v>102.32185721361699</v>
      </c>
      <c r="K218" s="21">
        <f t="shared" si="21"/>
        <v>-19.297686611662272</v>
      </c>
      <c r="L218" s="5">
        <f t="shared" si="25"/>
        <v>1.0796497011003652</v>
      </c>
      <c r="M218" s="10">
        <v>-9.1548392228404992E-3</v>
      </c>
      <c r="N218" s="10">
        <f t="shared" si="20"/>
        <v>9.5362157163785995E-3</v>
      </c>
      <c r="O218" s="7">
        <v>310.32926149524968</v>
      </c>
      <c r="P218" s="13">
        <v>5251</v>
      </c>
      <c r="Q218" s="13">
        <v>39515</v>
      </c>
      <c r="R218" s="22">
        <f t="shared" si="26"/>
        <v>-0.1202662688959637</v>
      </c>
      <c r="S218" s="9">
        <f t="shared" si="22"/>
        <v>7.5252332888973532</v>
      </c>
      <c r="T218" s="12">
        <v>274514.8439941362</v>
      </c>
    </row>
    <row r="219" spans="1:20" x14ac:dyDescent="0.45">
      <c r="A219" s="11">
        <v>44593</v>
      </c>
      <c r="B219" s="1">
        <v>1.0953088345228112</v>
      </c>
      <c r="C219">
        <f>IF(B219&lt;2,0, 1)</f>
        <v>0</v>
      </c>
      <c r="D219">
        <v>39.9375</v>
      </c>
      <c r="E219" s="2">
        <v>14878668077</v>
      </c>
      <c r="F219" s="17">
        <f t="shared" si="23"/>
        <v>2.2460741410419222E-2</v>
      </c>
      <c r="G219" s="18">
        <v>149.09572554645979</v>
      </c>
      <c r="H219" s="19">
        <f t="shared" si="24"/>
        <v>7.733192981089515E-2</v>
      </c>
      <c r="I219" s="20">
        <v>-2.4E-2</v>
      </c>
      <c r="J219" s="21">
        <v>102.03881323985149</v>
      </c>
      <c r="K219" s="21">
        <f t="shared" si="21"/>
        <v>-19.580730585427773</v>
      </c>
      <c r="L219" s="5">
        <f t="shared" si="25"/>
        <v>0.30543966897286623</v>
      </c>
      <c r="M219" s="10">
        <v>-9.1548392228404992E-3</v>
      </c>
      <c r="N219" s="10">
        <f t="shared" si="20"/>
        <v>9.5362157163785995E-3</v>
      </c>
      <c r="O219" s="7">
        <v>330.54359100346392</v>
      </c>
      <c r="P219" s="13">
        <v>5634</v>
      </c>
      <c r="Q219" s="13">
        <v>39518</v>
      </c>
      <c r="R219" s="22">
        <f t="shared" si="26"/>
        <v>-0.11772454287691725</v>
      </c>
      <c r="S219" s="9">
        <f t="shared" si="22"/>
        <v>7.0141995030173945</v>
      </c>
      <c r="T219" s="12">
        <v>274514.8439941362</v>
      </c>
    </row>
    <row r="220" spans="1:20" x14ac:dyDescent="0.45">
      <c r="A220" s="11">
        <v>44621</v>
      </c>
      <c r="B220" s="1">
        <v>-1.7039350713223707</v>
      </c>
      <c r="C220">
        <f>IF(B220&lt;2,0, 1)</f>
        <v>0</v>
      </c>
      <c r="D220">
        <v>41.8125</v>
      </c>
      <c r="E220" s="2">
        <v>15243181301</v>
      </c>
      <c r="F220" s="17">
        <f t="shared" si="23"/>
        <v>2.4499049384902816E-2</v>
      </c>
      <c r="G220" s="18">
        <v>148.01422242925457</v>
      </c>
      <c r="H220" s="19">
        <f t="shared" si="24"/>
        <v>5.3409277771068041E-2</v>
      </c>
      <c r="I220" s="20">
        <v>-2.4E-2</v>
      </c>
      <c r="J220" s="21">
        <v>101.68149684275969</v>
      </c>
      <c r="K220" s="21">
        <f t="shared" si="21"/>
        <v>-19.93804698251958</v>
      </c>
      <c r="L220" s="5">
        <f t="shared" si="25"/>
        <v>-3.8312943986179846</v>
      </c>
      <c r="M220" s="10">
        <v>-9.1548392228404992E-3</v>
      </c>
      <c r="N220" s="10">
        <f t="shared" si="20"/>
        <v>9.5362157163785995E-3</v>
      </c>
      <c r="O220" s="7">
        <v>367.59842050375261</v>
      </c>
      <c r="P220" s="13">
        <v>7083</v>
      </c>
      <c r="Q220" s="13">
        <v>39593</v>
      </c>
      <c r="R220" s="22">
        <f t="shared" si="26"/>
        <v>-9.1090654484515921E-2</v>
      </c>
      <c r="S220" s="9">
        <f t="shared" si="22"/>
        <v>5.5898630523789352</v>
      </c>
      <c r="T220" s="12">
        <v>274514.8439941362</v>
      </c>
    </row>
    <row r="221" spans="1:20" x14ac:dyDescent="0.45">
      <c r="A221" s="11">
        <v>44652</v>
      </c>
      <c r="B221" s="1">
        <v>1.5879304366014237</v>
      </c>
      <c r="C221">
        <f>IF(B221&lt;2,0, 1)</f>
        <v>0</v>
      </c>
      <c r="D221">
        <v>44.375</v>
      </c>
      <c r="E221" s="2">
        <v>15989323792</v>
      </c>
      <c r="F221" s="17">
        <f t="shared" si="23"/>
        <v>4.8949263035469551E-2</v>
      </c>
      <c r="G221" s="18">
        <v>149.6457677076917</v>
      </c>
      <c r="H221" s="19">
        <f t="shared" si="24"/>
        <v>7.554624552031719E-2</v>
      </c>
      <c r="I221" s="20">
        <v>-2.4E-2</v>
      </c>
      <c r="J221" s="21">
        <v>96.907704774272744</v>
      </c>
      <c r="K221" s="21">
        <f t="shared" si="21"/>
        <v>-24.711839051006521</v>
      </c>
      <c r="L221" s="5">
        <f t="shared" si="25"/>
        <v>-4.0777496408813221</v>
      </c>
      <c r="M221" s="10">
        <v>-6.9272610788326996E-3</v>
      </c>
      <c r="N221" s="10">
        <f t="shared" si="20"/>
        <v>1.36079610005083E-2</v>
      </c>
      <c r="O221" s="7">
        <v>371.64300472272117</v>
      </c>
      <c r="P221" s="13">
        <v>6883</v>
      </c>
      <c r="Q221" s="13">
        <v>40263</v>
      </c>
      <c r="R221" s="22">
        <f t="shared" si="26"/>
        <v>-7.5858428204186534E-2</v>
      </c>
      <c r="S221" s="9">
        <f t="shared" si="22"/>
        <v>5.8496295220107513</v>
      </c>
      <c r="T221" s="12">
        <v>274870.57219887082</v>
      </c>
    </row>
    <row r="222" spans="1:20" x14ac:dyDescent="0.45">
      <c r="A222" s="11">
        <v>44682</v>
      </c>
      <c r="B222" s="1">
        <v>1.2125572805028872</v>
      </c>
      <c r="C222">
        <f>IF(B222&lt;2,0, 1)</f>
        <v>0</v>
      </c>
      <c r="D222">
        <v>45.8125</v>
      </c>
      <c r="E222" s="2">
        <v>16848858612</v>
      </c>
      <c r="F222" s="17">
        <f t="shared" si="23"/>
        <v>5.3756796171083504E-2</v>
      </c>
      <c r="G222" s="18">
        <v>149.93586920764909</v>
      </c>
      <c r="H222" s="19">
        <f t="shared" si="24"/>
        <v>8.2054234083937666E-2</v>
      </c>
      <c r="I222" s="20">
        <v>-2.4E-2</v>
      </c>
      <c r="J222" s="21">
        <v>97.973918232645659</v>
      </c>
      <c r="K222" s="21">
        <f t="shared" si="21"/>
        <v>-23.645625592633607</v>
      </c>
      <c r="L222" s="5">
        <f t="shared" si="25"/>
        <v>-3.7380362503267577</v>
      </c>
      <c r="M222" s="10">
        <v>-6.9272610788326996E-3</v>
      </c>
      <c r="N222" s="10">
        <f t="shared" si="20"/>
        <v>1.36079610005083E-2</v>
      </c>
      <c r="O222" s="7">
        <v>372.45733820920668</v>
      </c>
      <c r="P222" s="13">
        <v>7886</v>
      </c>
      <c r="Q222" s="13">
        <v>41872</v>
      </c>
      <c r="R222" s="22">
        <f t="shared" si="26"/>
        <v>-1.6835333067223957E-2</v>
      </c>
      <c r="S222" s="9">
        <f t="shared" si="22"/>
        <v>5.309662693380675</v>
      </c>
      <c r="T222" s="12">
        <v>274870.57219887082</v>
      </c>
    </row>
    <row r="223" spans="1:20" x14ac:dyDescent="0.45">
      <c r="A223" s="11">
        <v>44713</v>
      </c>
      <c r="B223" s="1">
        <v>1.0341694178351097</v>
      </c>
      <c r="C223">
        <f>IF(B223&lt;2,0, 1)</f>
        <v>0</v>
      </c>
      <c r="D223">
        <v>50.625</v>
      </c>
      <c r="E223" s="2">
        <v>18505766716</v>
      </c>
      <c r="F223" s="17">
        <f t="shared" si="23"/>
        <v>9.8339486499098891E-2</v>
      </c>
      <c r="G223" s="18">
        <v>150.88644891590704</v>
      </c>
      <c r="H223" s="19">
        <f t="shared" si="24"/>
        <v>7.0734287964832901E-2</v>
      </c>
      <c r="I223" s="20">
        <v>-2.4E-2</v>
      </c>
      <c r="J223" s="21">
        <v>94.253122789347984</v>
      </c>
      <c r="K223" s="21">
        <f t="shared" si="21"/>
        <v>-27.366421035931282</v>
      </c>
      <c r="L223" s="5">
        <f t="shared" si="25"/>
        <v>-5.6476151709911449</v>
      </c>
      <c r="M223" s="10">
        <v>-6.9272610788326996E-3</v>
      </c>
      <c r="N223" s="10">
        <f t="shared" si="20"/>
        <v>1.36079610005083E-2</v>
      </c>
      <c r="O223" s="7">
        <v>365.61183685366188</v>
      </c>
      <c r="P223" s="13">
        <v>8664</v>
      </c>
      <c r="Q223" s="13">
        <v>42437</v>
      </c>
      <c r="R223" s="22">
        <f t="shared" si="26"/>
        <v>-1.8616160214606214E-2</v>
      </c>
      <c r="S223" s="9">
        <f t="shared" si="22"/>
        <v>4.898084025854109</v>
      </c>
      <c r="T223" s="12">
        <v>274870.57219887082</v>
      </c>
    </row>
    <row r="224" spans="1:20" x14ac:dyDescent="0.45">
      <c r="A224" s="11">
        <v>44743</v>
      </c>
      <c r="B224" s="1">
        <v>3.297071996080049</v>
      </c>
      <c r="C224">
        <f>IF(B224&lt;2,0, 1)</f>
        <v>1</v>
      </c>
      <c r="D224">
        <v>55.625</v>
      </c>
      <c r="E224" s="2">
        <v>19172886194</v>
      </c>
      <c r="F224" s="17">
        <f t="shared" si="23"/>
        <v>3.6049275246899749E-2</v>
      </c>
      <c r="G224" s="18">
        <v>151.81277168041169</v>
      </c>
      <c r="H224" s="19">
        <f t="shared" si="24"/>
        <v>6.982453611829359E-2</v>
      </c>
      <c r="I224" s="20">
        <v>-2.4E-2</v>
      </c>
      <c r="J224" s="21">
        <v>91.85766431363912</v>
      </c>
      <c r="K224" s="21">
        <f t="shared" si="21"/>
        <v>-29.761879511640146</v>
      </c>
      <c r="L224" s="5">
        <f t="shared" si="25"/>
        <v>-8.0605871506452615</v>
      </c>
      <c r="M224" s="10">
        <v>-1.3516241819795599E-2</v>
      </c>
      <c r="N224" s="10">
        <f t="shared" si="20"/>
        <v>1.00256902717648E-2</v>
      </c>
      <c r="O224" s="7">
        <v>337.66404513262961</v>
      </c>
      <c r="P224" s="13">
        <v>8289</v>
      </c>
      <c r="Q224" s="13">
        <v>42582</v>
      </c>
      <c r="R224" s="22">
        <f t="shared" si="26"/>
        <v>-1.8531323468399918E-2</v>
      </c>
      <c r="S224" s="9">
        <f t="shared" si="22"/>
        <v>5.1371697430329348</v>
      </c>
      <c r="T224" s="12">
        <v>272050.95240147592</v>
      </c>
    </row>
    <row r="225" spans="1:20" x14ac:dyDescent="0.45">
      <c r="A225" s="11">
        <v>44774</v>
      </c>
      <c r="B225" s="1">
        <v>2.7113467427011577</v>
      </c>
      <c r="C225">
        <f>IF(B225&lt;2,0, 1)</f>
        <v>1</v>
      </c>
      <c r="D225">
        <v>63.875</v>
      </c>
      <c r="E225" s="2">
        <v>19762333930</v>
      </c>
      <c r="F225" s="17">
        <f t="shared" si="23"/>
        <v>3.0743818642415086E-2</v>
      </c>
      <c r="G225" s="18">
        <v>151.41819732561837</v>
      </c>
      <c r="H225" s="19">
        <f t="shared" si="24"/>
        <v>5.1846175837372166E-2</v>
      </c>
      <c r="I225" s="20">
        <v>-2.4E-2</v>
      </c>
      <c r="J225" s="21">
        <v>90.30074426415878</v>
      </c>
      <c r="K225" s="21">
        <f t="shared" si="21"/>
        <v>-31.318799561120485</v>
      </c>
      <c r="L225" s="5">
        <f t="shared" si="25"/>
        <v>-8.8811062001375092</v>
      </c>
      <c r="M225" s="10">
        <v>-1.3516241819795599E-2</v>
      </c>
      <c r="N225" s="10">
        <f t="shared" si="20"/>
        <v>1.00256902717648E-2</v>
      </c>
      <c r="O225" s="7">
        <v>340.65046862400891</v>
      </c>
      <c r="P225" s="13">
        <v>7837</v>
      </c>
      <c r="Q225" s="13">
        <v>46180</v>
      </c>
      <c r="R225" s="22">
        <f t="shared" si="26"/>
        <v>7.7914196349376796E-2</v>
      </c>
      <c r="S225" s="9">
        <f t="shared" si="22"/>
        <v>5.8925609289268852</v>
      </c>
      <c r="T225" s="12">
        <v>272050.95240147592</v>
      </c>
    </row>
    <row r="226" spans="1:20" x14ac:dyDescent="0.45">
      <c r="A226" s="11">
        <v>44805</v>
      </c>
      <c r="B226" s="1">
        <v>1.3678357299470876</v>
      </c>
      <c r="C226">
        <f>IF(B226&lt;2,0, 1)</f>
        <v>0</v>
      </c>
      <c r="D226">
        <v>69.125</v>
      </c>
      <c r="E226" s="2">
        <v>21579990174</v>
      </c>
      <c r="F226" s="17">
        <f t="shared" si="23"/>
        <v>9.1975788408307696E-2</v>
      </c>
      <c r="G226" s="18">
        <v>150.85535443120872</v>
      </c>
      <c r="H226" s="19">
        <f t="shared" si="24"/>
        <v>4.0326416940523753E-2</v>
      </c>
      <c r="I226" s="20">
        <v>-2.4E-2</v>
      </c>
      <c r="J226" s="21">
        <v>87.75689739485216</v>
      </c>
      <c r="K226" s="21">
        <f t="shared" si="21"/>
        <v>-33.862646430427105</v>
      </c>
      <c r="L226" s="5">
        <f t="shared" si="25"/>
        <v>-14.093747088551865</v>
      </c>
      <c r="M226" s="10">
        <v>-1.3516241819795599E-2</v>
      </c>
      <c r="N226" s="10">
        <f t="shared" si="20"/>
        <v>1.00256902717648E-2</v>
      </c>
      <c r="O226" s="7">
        <v>331.12254157772981</v>
      </c>
      <c r="P226" s="13">
        <v>7137</v>
      </c>
      <c r="Q226" s="13">
        <v>42911</v>
      </c>
      <c r="R226" s="22">
        <f t="shared" si="26"/>
        <v>3.7023611010415847E-2</v>
      </c>
      <c r="S226" s="9">
        <f t="shared" si="22"/>
        <v>6.0124702255849796</v>
      </c>
      <c r="T226" s="12">
        <v>272050.95240147592</v>
      </c>
    </row>
    <row r="227" spans="1:20" x14ac:dyDescent="0.45">
      <c r="A227" s="11">
        <v>44835</v>
      </c>
      <c r="B227" s="1">
        <v>0.87517398859906659</v>
      </c>
      <c r="C227">
        <f>IF(B227&lt;2,0, 1)</f>
        <v>0</v>
      </c>
      <c r="D227">
        <v>69.5</v>
      </c>
      <c r="E227" s="2">
        <v>22486054126</v>
      </c>
      <c r="F227" s="17">
        <f t="shared" si="23"/>
        <v>4.1986300489220973E-2</v>
      </c>
      <c r="G227" s="18">
        <v>149.66118316081813</v>
      </c>
      <c r="H227" s="19">
        <f t="shared" si="24"/>
        <v>3.7022386905800217E-2</v>
      </c>
      <c r="I227" s="20">
        <v>-2.4E-2</v>
      </c>
      <c r="J227" s="21">
        <v>88.596683614219131</v>
      </c>
      <c r="K227" s="21">
        <f t="shared" si="21"/>
        <v>-33.022860211060134</v>
      </c>
      <c r="L227" s="5">
        <f t="shared" si="25"/>
        <v>-16.999576099326447</v>
      </c>
      <c r="M227" s="10">
        <v>-0.01</v>
      </c>
      <c r="N227" s="10">
        <f t="shared" si="20"/>
        <v>3.2494239356743002E-3</v>
      </c>
      <c r="O227" s="7">
        <v>327.19622472515857</v>
      </c>
      <c r="P227" s="13">
        <v>6079</v>
      </c>
      <c r="Q227" s="13">
        <v>42817</v>
      </c>
      <c r="R227" s="22">
        <f t="shared" si="26"/>
        <v>7.4292452830188704E-2</v>
      </c>
      <c r="S227" s="9">
        <f t="shared" si="22"/>
        <v>7.0434281954268796</v>
      </c>
      <c r="T227" s="12">
        <v>276472.97249046527</v>
      </c>
    </row>
    <row r="228" spans="1:20" x14ac:dyDescent="0.45">
      <c r="A228" s="11">
        <v>44866</v>
      </c>
      <c r="B228" s="1">
        <v>1.5868237692955827</v>
      </c>
      <c r="C228">
        <f>IF(B228&lt;2,0, 1)</f>
        <v>0</v>
      </c>
      <c r="D228">
        <v>69.5</v>
      </c>
      <c r="E228" s="2">
        <v>23876531172</v>
      </c>
      <c r="F228" s="17">
        <f t="shared" si="23"/>
        <v>6.1837307613354445E-2</v>
      </c>
      <c r="G228" s="18">
        <v>148.619341861245</v>
      </c>
      <c r="H228" s="19">
        <f t="shared" si="24"/>
        <v>1.2566662529371638E-2</v>
      </c>
      <c r="I228" s="20">
        <v>-2.4E-2</v>
      </c>
      <c r="J228" s="21">
        <v>91.540515448085941</v>
      </c>
      <c r="K228" s="21">
        <f t="shared" si="21"/>
        <v>-30.079028377193325</v>
      </c>
      <c r="L228" s="5">
        <f t="shared" si="25"/>
        <v>-18.359567415263925</v>
      </c>
      <c r="M228" s="10">
        <v>-0.01</v>
      </c>
      <c r="N228" s="10">
        <f t="shared" si="20"/>
        <v>3.2494239356743002E-3</v>
      </c>
      <c r="O228" s="7">
        <v>330.19120459570797</v>
      </c>
      <c r="P228" s="13">
        <v>5762</v>
      </c>
      <c r="Q228" s="13">
        <v>41530</v>
      </c>
      <c r="R228" s="22">
        <f t="shared" si="26"/>
        <v>7.44592776570423E-2</v>
      </c>
      <c r="S228" s="9">
        <f t="shared" si="22"/>
        <v>7.2075668170774039</v>
      </c>
      <c r="T228" s="12">
        <v>276472.97249046527</v>
      </c>
    </row>
    <row r="229" spans="1:20" x14ac:dyDescent="0.45">
      <c r="A229" s="11">
        <v>44896</v>
      </c>
      <c r="B229" s="1">
        <v>-1.6291592543387086</v>
      </c>
      <c r="C229">
        <f>IF(B229&lt;2,0, 1)</f>
        <v>0</v>
      </c>
      <c r="D229">
        <v>69.375</v>
      </c>
      <c r="E229" s="2">
        <v>26334758102</v>
      </c>
      <c r="F229" s="17">
        <f t="shared" si="23"/>
        <v>0.10295578165402694</v>
      </c>
      <c r="G229" s="18">
        <v>148.19820379702415</v>
      </c>
      <c r="H229" s="19">
        <f t="shared" si="24"/>
        <v>-1.5295438256218055E-2</v>
      </c>
      <c r="I229" s="20">
        <v>-2.4E-2</v>
      </c>
      <c r="J229" s="21">
        <v>93.948121894708081</v>
      </c>
      <c r="K229" s="21">
        <f t="shared" si="21"/>
        <v>-27.671421930571185</v>
      </c>
      <c r="L229" s="5">
        <f t="shared" si="25"/>
        <v>-19.424192972624724</v>
      </c>
      <c r="M229" s="10">
        <v>-0.01</v>
      </c>
      <c r="N229" s="10">
        <f t="shared" si="20"/>
        <v>3.2494239356743002E-3</v>
      </c>
      <c r="O229" s="7">
        <v>321.18785202237427</v>
      </c>
      <c r="P229" s="13">
        <v>5017</v>
      </c>
      <c r="Q229" s="13">
        <v>39662</v>
      </c>
      <c r="R229" s="22">
        <f t="shared" si="26"/>
        <v>6.9819991367709999E-3</v>
      </c>
      <c r="S229" s="9">
        <f t="shared" si="22"/>
        <v>7.9055212278253935</v>
      </c>
      <c r="T229" s="12">
        <v>276472.97249046527</v>
      </c>
    </row>
    <row r="230" spans="1:20" x14ac:dyDescent="0.45">
      <c r="A230" s="11">
        <v>44927</v>
      </c>
      <c r="B230" s="1">
        <v>2.238697759784503</v>
      </c>
      <c r="C230">
        <f>IF(B230&lt;2,0, 1)</f>
        <v>1</v>
      </c>
      <c r="D230">
        <v>69.375</v>
      </c>
      <c r="E230" s="2">
        <v>27172452615</v>
      </c>
      <c r="F230" s="17">
        <f t="shared" si="23"/>
        <v>3.180946298255085E-2</v>
      </c>
      <c r="G230" s="18">
        <v>149.40005649999969</v>
      </c>
      <c r="H230" s="19">
        <f t="shared" si="24"/>
        <v>1.4606703073143532E-2</v>
      </c>
      <c r="I230" s="20">
        <v>-4.2299999999999997E-2</v>
      </c>
      <c r="J230" s="21">
        <v>96.216049754356334</v>
      </c>
      <c r="K230" s="21">
        <f t="shared" si="21"/>
        <v>-25.403494070922932</v>
      </c>
      <c r="L230" s="5">
        <f t="shared" si="25"/>
        <v>-19.297686611662272</v>
      </c>
      <c r="M230" s="10"/>
      <c r="N230" s="10">
        <f t="shared" si="20"/>
        <v>-9.1548392228404992E-3</v>
      </c>
      <c r="O230" s="7">
        <v>327.5807930135141</v>
      </c>
      <c r="P230" s="13">
        <v>5368</v>
      </c>
      <c r="Q230" s="13">
        <v>37589</v>
      </c>
      <c r="R230" s="22">
        <f t="shared" si="26"/>
        <v>-4.8740984436290047E-2</v>
      </c>
      <c r="S230" s="9">
        <f t="shared" si="22"/>
        <v>7.0024217585692998</v>
      </c>
      <c r="T230" s="12">
        <v>275093.36676291947</v>
      </c>
    </row>
    <row r="231" spans="1:20" x14ac:dyDescent="0.45">
      <c r="A231" s="11">
        <v>44958</v>
      </c>
      <c r="B231" s="1">
        <v>2.1413627973286498</v>
      </c>
      <c r="C231">
        <f>IF(B231&lt;2,0, 1)</f>
        <v>1</v>
      </c>
      <c r="D231">
        <v>69.375</v>
      </c>
      <c r="E231" s="2">
        <v>28312787724</v>
      </c>
      <c r="F231" s="17">
        <f t="shared" si="23"/>
        <v>4.1966587453739865E-2</v>
      </c>
      <c r="G231" s="18">
        <v>149.912758575949</v>
      </c>
      <c r="H231" s="19">
        <f t="shared" si="24"/>
        <v>5.4799225564291154E-3</v>
      </c>
      <c r="I231" s="20">
        <v>-4.2299999999999997E-2</v>
      </c>
      <c r="J231" s="21">
        <v>94.198054576896595</v>
      </c>
      <c r="K231" s="21">
        <f t="shared" si="21"/>
        <v>-27.42148924838267</v>
      </c>
      <c r="L231" s="5">
        <f t="shared" si="25"/>
        <v>-19.580730585427773</v>
      </c>
      <c r="M231" s="10"/>
      <c r="N231" s="10">
        <f t="shared" si="20"/>
        <v>-9.1548392228404992E-3</v>
      </c>
      <c r="O231" s="7">
        <v>325.85185841947032</v>
      </c>
      <c r="P231" s="13">
        <v>5029</v>
      </c>
      <c r="Q231" s="13">
        <v>37018</v>
      </c>
      <c r="R231" s="22">
        <f t="shared" si="26"/>
        <v>-6.3262310845690561E-2</v>
      </c>
      <c r="S231" s="9">
        <f t="shared" si="22"/>
        <v>7.360906740902764</v>
      </c>
      <c r="T231" s="12">
        <v>275093.36676291947</v>
      </c>
    </row>
    <row r="232" spans="1:20" x14ac:dyDescent="0.45">
      <c r="A232" s="11">
        <v>44986</v>
      </c>
      <c r="B232" s="1">
        <v>1.3281848712333226</v>
      </c>
      <c r="C232">
        <f>IF(B232&lt;2,0, 1)</f>
        <v>0</v>
      </c>
      <c r="D232">
        <v>72.4375</v>
      </c>
      <c r="E232" s="2">
        <v>29598631146</v>
      </c>
      <c r="F232" s="17">
        <f t="shared" si="23"/>
        <v>4.5415641671696802E-2</v>
      </c>
      <c r="G232" s="18">
        <v>150.1967582470532</v>
      </c>
      <c r="H232" s="19">
        <f t="shared" si="24"/>
        <v>1.4745446633290906E-2</v>
      </c>
      <c r="I232" s="20">
        <v>-4.2299999999999997E-2</v>
      </c>
      <c r="J232" s="21">
        <v>94.921102352992875</v>
      </c>
      <c r="K232" s="21">
        <f t="shared" si="21"/>
        <v>-26.69844147228639</v>
      </c>
      <c r="L232" s="5">
        <f t="shared" si="25"/>
        <v>-19.93804698251958</v>
      </c>
      <c r="M232" s="10"/>
      <c r="N232" s="10">
        <f t="shared" si="20"/>
        <v>-9.1548392228404992E-3</v>
      </c>
      <c r="O232" s="7">
        <v>313.72020938133358</v>
      </c>
      <c r="P232" s="13">
        <v>6846</v>
      </c>
      <c r="Q232" s="13">
        <v>43137</v>
      </c>
      <c r="R232" s="22">
        <f t="shared" si="26"/>
        <v>8.9510772106180303E-2</v>
      </c>
      <c r="S232" s="9">
        <f t="shared" si="22"/>
        <v>6.3010517090271687</v>
      </c>
      <c r="T232" s="12">
        <v>275093.36676291947</v>
      </c>
    </row>
    <row r="233" spans="1:20" x14ac:dyDescent="0.45">
      <c r="A233" s="11">
        <v>45017</v>
      </c>
      <c r="B233" s="1">
        <v>4.2938715304410149</v>
      </c>
      <c r="C233">
        <f>IF(B233&lt;2,0, 1)</f>
        <v>1</v>
      </c>
      <c r="D233">
        <v>87.5</v>
      </c>
      <c r="E233" s="2">
        <v>31682474389</v>
      </c>
      <c r="F233" s="17">
        <f t="shared" si="23"/>
        <v>7.0403365369199292E-2</v>
      </c>
      <c r="G233" s="18">
        <v>147.47551287912867</v>
      </c>
      <c r="H233" s="19">
        <f t="shared" si="24"/>
        <v>-1.4502614152124007E-2</v>
      </c>
      <c r="I233" s="20">
        <v>-4.2299999999999997E-2</v>
      </c>
      <c r="J233" s="21">
        <v>94.001659828099918</v>
      </c>
      <c r="K233" s="21">
        <f t="shared" si="21"/>
        <v>-27.617883997179348</v>
      </c>
      <c r="L233" s="5">
        <f t="shared" si="25"/>
        <v>-24.711839051006521</v>
      </c>
      <c r="M233" s="10"/>
      <c r="N233" s="10">
        <f t="shared" si="20"/>
        <v>-6.9272610788326996E-3</v>
      </c>
      <c r="O233" s="7">
        <v>310.8784748382148</v>
      </c>
      <c r="P233" s="14">
        <v>6091</v>
      </c>
      <c r="Q233" s="13">
        <v>42007</v>
      </c>
      <c r="R233" s="22">
        <f t="shared" si="26"/>
        <v>4.331520254327792E-2</v>
      </c>
      <c r="S233" s="9">
        <f t="shared" si="22"/>
        <v>6.896568707929732</v>
      </c>
      <c r="T233" s="12">
        <v>275093.36676291947</v>
      </c>
    </row>
    <row r="234" spans="1:20" x14ac:dyDescent="0.45">
      <c r="A234" s="11">
        <v>45047</v>
      </c>
      <c r="B234" s="1">
        <v>2.7364883402306477</v>
      </c>
      <c r="C234">
        <f>IF(B234&lt;2,0, 1)</f>
        <v>1</v>
      </c>
      <c r="D234">
        <v>91.9375</v>
      </c>
      <c r="E234" s="2">
        <v>33925020895</v>
      </c>
      <c r="F234" s="17">
        <f t="shared" si="23"/>
        <v>7.0781924368211624E-2</v>
      </c>
      <c r="G234" s="18">
        <v>147.28791359283221</v>
      </c>
      <c r="H234" s="19">
        <f t="shared" si="24"/>
        <v>-1.7660588015464631E-2</v>
      </c>
      <c r="I234" s="20">
        <v>-4.2299999999999997E-2</v>
      </c>
      <c r="J234" s="21">
        <v>92.641000000000005</v>
      </c>
      <c r="K234" s="21">
        <f t="shared" si="21"/>
        <v>-28.97854382527926</v>
      </c>
      <c r="L234" s="5">
        <f t="shared" si="25"/>
        <v>-23.645625592633607</v>
      </c>
      <c r="M234" s="10"/>
      <c r="N234" s="10">
        <f t="shared" si="20"/>
        <v>-6.9272610788326996E-3</v>
      </c>
      <c r="O234" s="7">
        <v>292.16227543696152</v>
      </c>
      <c r="P234" s="14">
        <v>7386</v>
      </c>
      <c r="Q234" s="13">
        <v>41561</v>
      </c>
      <c r="R234" s="22">
        <f t="shared" si="26"/>
        <v>-7.4273977837218119E-3</v>
      </c>
      <c r="S234" s="9">
        <f t="shared" si="22"/>
        <v>5.6269970213918228</v>
      </c>
      <c r="T234" s="12">
        <v>275093.36676291947</v>
      </c>
    </row>
    <row r="235" spans="1:20" x14ac:dyDescent="0.45">
      <c r="A235" s="11">
        <v>45078</v>
      </c>
      <c r="B235" s="1">
        <v>3.9326331216036867</v>
      </c>
      <c r="C235">
        <f>IF(B235&lt;2,0, 1)</f>
        <v>1</v>
      </c>
      <c r="D235">
        <v>92.25</v>
      </c>
      <c r="E235" s="2" t="s">
        <v>15</v>
      </c>
      <c r="F235" s="17" t="e">
        <f t="shared" si="23"/>
        <v>#VALUE!</v>
      </c>
      <c r="G235" s="6"/>
      <c r="H235" s="19">
        <f t="shared" si="24"/>
        <v>-1</v>
      </c>
      <c r="I235" s="20">
        <v>-4.2299999999999997E-2</v>
      </c>
      <c r="J235" s="21">
        <v>95.586358214101068</v>
      </c>
      <c r="K235" s="21">
        <f t="shared" si="21"/>
        <v>-26.033185611178197</v>
      </c>
      <c r="L235" s="5">
        <f t="shared" si="25"/>
        <v>-27.366421035931282</v>
      </c>
      <c r="M235" s="10"/>
      <c r="N235" s="10">
        <f t="shared" si="20"/>
        <v>-6.9272610788326996E-3</v>
      </c>
      <c r="O235" s="7">
        <v>298.55762837278411</v>
      </c>
      <c r="P235" s="14">
        <v>7177</v>
      </c>
      <c r="Q235" s="14">
        <v>42787</v>
      </c>
      <c r="R235" s="22">
        <f t="shared" si="26"/>
        <v>8.2475198529585736E-3</v>
      </c>
      <c r="S235" s="9">
        <f t="shared" si="22"/>
        <v>5.9616831545213875</v>
      </c>
      <c r="T235" s="12">
        <v>275093.36676291947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hYTM5MDM2YS1mMjQyLTQxMzAtYjZjZi05MGFiOGQzYTQ3MjMiIG9yaWdpbj0iZGVmYXVsdFZhbHVlIj48ZWxlbWVudCB1aWQ9IjIyNWE4YWEzLWZhYmMtNDU5Yi05MGI1LTM5N2EwMjE4MGFjYyIgdmFsdWU9IiIgeG1sbnM9Imh0dHA6Ly93d3cuYm9sZG9uamFtZXMuY29tLzIwMDgvMDEvc2llL2ludGVybmFsL2xhYmVsIiAvPjwvc2lzbD48VXNlck5hbWU+TkJDSEFEXGMwMGdvbnphY2o8L1VzZXJOYW1lPjxEYXRlVGltZT4yNS83LzIwMjMgMTc6NDQ6MjY8L0RhdGVUaW1lPjxMYWJlbFN0cmluZz5JbnRlcm5v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aa39036a-f242-4130-b6cf-90ab8d3a4723" origin="defaultValue">
  <element uid="225a8aa3-fabc-459b-90b5-397a02180acc" value=""/>
</sisl>
</file>

<file path=customXml/itemProps1.xml><?xml version="1.0" encoding="utf-8"?>
<ds:datastoreItem xmlns:ds="http://schemas.openxmlformats.org/officeDocument/2006/customXml" ds:itemID="{13D4CAF6-2AD0-40CA-988D-66783277F63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10E276A-8088-4CE2-8E5B-4DF3746E39B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keywords>EDTG-SGJH</cp:keywords>
  <cp:lastModifiedBy>Ignacio Cabanas</cp:lastModifiedBy>
  <dcterms:created xsi:type="dcterms:W3CDTF">2023-07-25T14:40:29Z</dcterms:created>
  <dcterms:modified xsi:type="dcterms:W3CDTF">2026-03-20T04:54:37Z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cdf179a5-9014-4bcf-a49a-107693b83086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policy="aa39036a-f242-4130-b6cf-90ab8d3a4723" origin="defaultValue" xmlns="http://www.boldonj</vt:lpwstr>
  </property>
  <property fmtid="{D5CDD505-2E9C-101B-9397-08002B2CF9AE}" pid="4" name="bjDocumentLabelXML-0">
    <vt:lpwstr>ames.com/2008/01/sie/internal/label"&gt;&lt;element uid="225a8aa3-fabc-459b-90b5-397a02180acc" value="" /&gt;&lt;/sisl&gt;</vt:lpwstr>
  </property>
  <property fmtid="{D5CDD505-2E9C-101B-9397-08002B2CF9AE}" pid="5" name="bjDocumentSecurityLabel">
    <vt:lpwstr>Interno</vt:lpwstr>
  </property>
  <property fmtid="{D5CDD505-2E9C-101B-9397-08002B2CF9AE}" pid="6" name="DLP-Metadata">
    <vt:lpwstr>EDTG-SGJH</vt:lpwstr>
  </property>
  <property fmtid="{D5CDD505-2E9C-101B-9397-08002B2CF9AE}" pid="7" name="bjSaver">
    <vt:lpwstr>G7YOXHIjil55vwcyuwWSQIkNodg99aj1</vt:lpwstr>
  </property>
  <property fmtid="{D5CDD505-2E9C-101B-9397-08002B2CF9AE}" pid="8" name="bjLabelHistoryID">
    <vt:lpwstr>{13D4CAF6-2AD0-40CA-988D-66783277F635}</vt:lpwstr>
  </property>
</Properties>
</file>